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https://d.docs.live.net/3f0481d963f0f6fc/Documents/"/>
    </mc:Choice>
  </mc:AlternateContent>
  <xr:revisionPtr revIDLastSave="761" documentId="8_{7191B34D-3638-4CF3-B22F-49CD1F4650DF}" xr6:coauthVersionLast="47" xr6:coauthVersionMax="47" xr10:uidLastSave="{8B4E6685-08C9-4F31-B593-CE6537A960CC}"/>
  <bookViews>
    <workbookView xWindow="-108" yWindow="-108" windowWidth="23256" windowHeight="13896" firstSheet="3" activeTab="3" xr2:uid="{9ED786F0-06B7-44BD-99BC-188FE0816519}"/>
  </bookViews>
  <sheets>
    <sheet name="Product_Performance" sheetId="2" r:id="rId1"/>
    <sheet name="Profit_By_Product" sheetId="8" r:id="rId2"/>
    <sheet name="Monthly_Revenue" sheetId="9" r:id="rId3"/>
    <sheet name="Dashboard" sheetId="14" r:id="rId4"/>
  </sheets>
  <definedNames>
    <definedName name="Slicer_month">#N/A</definedName>
    <definedName name="Slicer_year">#N/A</definedName>
    <definedName name="Slicer_year1">#N/A</definedName>
  </definedNames>
  <calcPr calcId="191029"/>
  <pivotCaches>
    <pivotCache cacheId="0" r:id="rId5"/>
    <pivotCache cacheId="1" r:id="rId6"/>
  </pivotCaches>
  <extLst>
    <ext xmlns:x14="http://schemas.microsoft.com/office/spreadsheetml/2009/9/main" uri="{876F7934-8845-4945-9796-88D515C7AA90}">
      <x14:pivotCaches>
        <pivotCache cacheId="3" r:id="rId7"/>
      </x14:pivotCaches>
    </ex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4" l="1"/>
  <c r="C43" i="9"/>
  <c r="C44" i="9"/>
  <c r="C42" i="9"/>
  <c r="C30" i="9"/>
  <c r="C31" i="9"/>
  <c r="C32" i="9"/>
  <c r="C33" i="9"/>
  <c r="C34" i="9"/>
  <c r="C35" i="9"/>
  <c r="C36" i="9"/>
  <c r="C37" i="9"/>
  <c r="C38" i="9"/>
  <c r="C39" i="9"/>
  <c r="C40" i="9"/>
  <c r="C29" i="9"/>
  <c r="C17" i="9"/>
  <c r="C18" i="9"/>
  <c r="C19" i="9"/>
  <c r="C20" i="9"/>
  <c r="C21" i="9"/>
  <c r="C22" i="9"/>
  <c r="C23" i="9"/>
  <c r="C24" i="9"/>
  <c r="C25" i="9"/>
  <c r="C26" i="9"/>
  <c r="C27" i="9"/>
  <c r="C16" i="9"/>
  <c r="C5" i="9" s="1"/>
  <c r="C6" i="9"/>
  <c r="C7" i="9"/>
  <c r="C8" i="9"/>
  <c r="C9" i="9"/>
  <c r="C10" i="9"/>
  <c r="C11" i="9"/>
  <c r="C12" i="9"/>
  <c r="C13" i="9"/>
  <c r="C14" i="9"/>
  <c r="E7" i="8" a="1"/>
  <c r="E4" i="8" a="1"/>
  <c r="E6" i="8" a="1"/>
  <c r="E5" i="8" a="1"/>
  <c r="E4" i="8" l="1"/>
  <c r="E5" i="8"/>
  <c r="E7" i="8"/>
  <c r="E6"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43EF08-55EC-4091-9DA2-BF8284E684E7}" keepAlive="1" name="Query - Excel_toy_store_e" description="Connection to the 'Excel_toy_store_e' query in the workbook." type="5" refreshedVersion="8" background="1" saveData="1">
    <dbPr connection="Provider=Microsoft.Mashup.OleDb.1;Data Source=$Workbook$;Location=Excel_toy_store_e;Extended Properties=&quot;&quot;" command="SELECT * FROM [Excel_toy_store_e]"/>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<sst xmlns="http://schemas.openxmlformats.org/spreadsheetml/2006/main" count="23" uniqueCount="14">
  <si>
    <t>The Birthday Sugar Panda</t>
  </si>
  <si>
    <t>The Hudson River Mini bear</t>
  </si>
  <si>
    <t>The Forever Love Bear</t>
  </si>
  <si>
    <t>The Original Mr. Fuzzy</t>
  </si>
  <si>
    <t>Row Labels</t>
  </si>
  <si>
    <t>Grand Total</t>
  </si>
  <si>
    <t>Sum of revenue</t>
  </si>
  <si>
    <t>Sum of cost_of_goods</t>
  </si>
  <si>
    <t>Sum of profit</t>
  </si>
  <si>
    <t>Sum of total_revenue</t>
  </si>
  <si>
    <t>Total Revenue</t>
  </si>
  <si>
    <t>Total Orders</t>
  </si>
  <si>
    <t>Refund Rate</t>
  </si>
  <si>
    <t xml:space="preserve">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</si>
</sst>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43" formatCode="_(* #,##0.00_);_(* \(#,##0.00\);_(* &quot;-&quot;??_);_(@_)"/>
    <numFmt numFmtId="164" formatCode="_(* #,##0_);_(* \(#,##0\);_(* &quot;-&quot;??_);_(@_)"/>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26"/>
      <color theme="1"/>
      <name val="Aptos Narrow"/>
      <family val="2"/>
      <scheme val="minor"/>
    </font>
    <font>
      <b/>
      <sz val="28"/>
      <color theme="1"/>
      <name val="Aptos Narrow"/>
      <family val="2"/>
      <scheme val="minor"/>
    </font>
    <font>
      <b/>
      <sz val="36"/>
      <color theme="1"/>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4" tint="0.7999816888943144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43" fontId="1" fillId="0" borderId="0" applyFont="0" applyFill="0" applyBorder="0" applyAlignment="0" applyProtection="0"/>
    <xf numFmtId="44" fontId="1" fillId="0" borderId="0" applyFont="0" applyFill="0" applyBorder="0" applyAlignment="0" applyProtection="0"/>
  </cellStyleXfs>
  <cellXfs count="10">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0" fillId="33" borderId="0" xfId="0" applyFill="1"/>
    <xf numFmtId="0" fontId="20" fillId="34" borderId="0" xfId="0" applyFont="1" applyFill="1"/>
    <xf numFmtId="44" fontId="19" fillId="34" borderId="0" xfId="43" applyFont="1" applyFill="1"/>
    <xf numFmtId="164" fontId="19" fillId="34" borderId="0" xfId="42" applyNumberFormat="1" applyFont="1" applyFill="1" applyAlignment="1">
      <alignment horizontal="right"/>
    </xf>
    <xf numFmtId="10" fontId="18" fillId="34" borderId="0" xfId="0" applyNumberFormat="1" applyFont="1" applyFill="1"/>
    <xf numFmtId="44" fontId="18" fillId="34" borderId="0" xfId="43" applyFont="1" applyFill="1"/>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Comma" xfId="42" builtinId="3"/>
    <cellStyle name="Currency" xfId="43" builtinId="4"/>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8">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
      <fill>
        <patternFill patternType="solid">
          <bgColor theme="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pivotCacheDefinition" Target="pivotCache/pivotCacheDefinition3.xml"/><Relationship Id="rId12" Type="http://schemas.openxmlformats.org/officeDocument/2006/relationships/connections" Target="connections.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sheetMetadata" Target="metadata.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[Toy_store_e_analysis.xlsx]Product_Performance!PivotTable1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Product_Performance!$B$3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C65-4005-8367-969E14E29F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C65-4005-8367-969E14E29F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C65-4005-8367-969E14E29FE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C65-4005-8367-969E14E29FEA}"/>
              </c:ext>
            </c:extLst>
          </c:dPt>
          <c:cat>
            <c:strRef>
              <c:f>Product_Performance!$A$4:$A$8</c:f>
              <c:strCache>
                <c:ptCount val="4"/>
                <c:pt idx="0">
                  <c:v>The Birthday Sugar Panda</c:v>
                </c:pt>
                <c:pt idx="1">
                  <c:v>The Forever Love Bear</c:v>
                </c:pt>
                <c:pt idx="2">
                  <c:v>The Hudson River Mini bear</c:v>
                </c:pt>
                <c:pt idx="3">
                  <c:v>The Original Mr. Fuzzy</c:v>
                </c:pt>
              </c:strCache>
            </c:strRef>
          </c:cat>
          <c:val>
            <c:numRef>
              <c:f>Product_Performance!$B$4:$B$8</c:f>
              <c:numCache>
                <c:formatCode>General</c:formatCode>
                <c:ptCount val="4"/>
                <c:pt idx="0">
                  <c:v>229260.15</c:v>
                </c:pt>
                <c:pt idx="1">
                  <c:v>347702.04</c:v>
                </c:pt>
                <c:pt idx="2">
                  <c:v>150489.82</c:v>
                </c:pt>
                <c:pt idx="3">
                  <c:v>1211057.74</c:v>
                </c:pt>
              </c:numCache>
            </c:numRef>
          </c:val>
          <c:extLst>
            <c:ext xmlns:c16="http://schemas.microsoft.com/office/drawing/2014/chart" uri="{C3380CC4-5D6E-409C-BE32-E72D297353CC}">
              <c16:uniqueId val="{00000000-8062-46B4-8449-BDB44E54B6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[Toy_store_e_analysis.xlsx]Profit_By_Product!PivotTable3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Profit_By_Product!$B$3</c:f>
              <c:strCache>
                <c:ptCount val="1"/>
                <c:pt idx="0">
                  <c:v>Sum of revenue</c:v>
                </c:pt>
              </c:strCache>
            </c:strRef>
          </c:tx>
          <c:spPr>
            <a:solidFill>
              <a:schemeClr val="accent1"/>
            </a:solidFill>
            <a:ln>
              <a:noFill/>
            </a:ln>
            <a:effectLst/>
          </c:spPr>
          <c:invertIfNegative val="0"/>
          <c:cat>
            <c:strRef>
              <c:f>Profit_By_Product!$A$4:$A$8</c:f>
              <c:strCache>
                <c:ptCount val="4"/>
                <c:pt idx="0">
                  <c:v>The Birthday Sugar Panda</c:v>
                </c:pt>
                <c:pt idx="1">
                  <c:v>The Forever Love Bear</c:v>
                </c:pt>
                <c:pt idx="2">
                  <c:v>The Hudson River Mini bear</c:v>
                </c:pt>
                <c:pt idx="3">
                  <c:v>The Original Mr. Fuzzy</c:v>
                </c:pt>
              </c:strCache>
            </c:strRef>
          </c:cat>
          <c:val>
            <c:numRef>
              <c:f>Profit_By_Product!$B$4:$B$8</c:f>
              <c:numCache>
                <c:formatCode>General</c:formatCode>
                <c:ptCount val="4"/>
                <c:pt idx="0">
                  <c:v>229260.15</c:v>
                </c:pt>
                <c:pt idx="1">
                  <c:v>347702.04</c:v>
                </c:pt>
                <c:pt idx="2">
                  <c:v>150489.82</c:v>
                </c:pt>
                <c:pt idx="3">
                  <c:v>1211057.74</c:v>
                </c:pt>
              </c:numCache>
            </c:numRef>
          </c:val>
          <c:extLst>
            <c:ext xmlns:c16="http://schemas.microsoft.com/office/drawing/2014/chart" uri="{C3380CC4-5D6E-409C-BE32-E72D297353CC}">
              <c16:uniqueId val="{00000000-D68F-464E-BC56-E9F29C0068BF}"/>
            </c:ext>
          </c:extLst>
        </c:ser>
        <c:ser>
          <c:idx val="1"/>
          <c:order val="1"/>
          <c:tx>
            <c:strRef>
              <c:f>Profit_By_Product!$C$3</c:f>
              <c:strCache>
                <c:ptCount val="1"/>
                <c:pt idx="0">
                  <c:v>Sum of cost_of_goods</c:v>
                </c:pt>
              </c:strCache>
            </c:strRef>
          </c:tx>
          <c:spPr>
            <a:solidFill>
              <a:schemeClr val="accent2"/>
            </a:solidFill>
            <a:ln>
              <a:noFill/>
            </a:ln>
            <a:effectLst/>
          </c:spPr>
          <c:invertIfNegative val="0"/>
          <c:cat>
            <c:strRef>
              <c:f>Profit_By_Product!$A$4:$A$8</c:f>
              <c:strCache>
                <c:ptCount val="4"/>
                <c:pt idx="0">
                  <c:v>The Birthday Sugar Panda</c:v>
                </c:pt>
                <c:pt idx="1">
                  <c:v>The Forever Love Bear</c:v>
                </c:pt>
                <c:pt idx="2">
                  <c:v>The Hudson River Mini bear</c:v>
                </c:pt>
                <c:pt idx="3">
                  <c:v>The Original Mr. Fuzzy</c:v>
                </c:pt>
              </c:strCache>
            </c:strRef>
          </c:cat>
          <c:val>
            <c:numRef>
              <c:f>Profit_By_Product!$C$4:$C$8</c:f>
              <c:numCache>
                <c:formatCode>General</c:formatCode>
                <c:ptCount val="4"/>
                <c:pt idx="0">
                  <c:v>72232.649999999994</c:v>
                </c:pt>
                <c:pt idx="1">
                  <c:v>130352.04</c:v>
                </c:pt>
                <c:pt idx="2">
                  <c:v>47620.82</c:v>
                </c:pt>
                <c:pt idx="3">
                  <c:v>472164.74</c:v>
                </c:pt>
              </c:numCache>
            </c:numRef>
          </c:val>
          <c:extLst>
            <c:ext xmlns:c16="http://schemas.microsoft.com/office/drawing/2014/chart" uri="{C3380CC4-5D6E-409C-BE32-E72D297353CC}">
              <c16:uniqueId val="{00000001-D68F-464E-BC56-E9F29C0068BF}"/>
            </c:ext>
          </c:extLst>
        </c:ser>
        <c:ser>
          <c:idx val="2"/>
          <c:order val="2"/>
          <c:tx>
            <c:strRef>
              <c:f>Profit_By_Product!$D$3</c:f>
              <c:strCache>
                <c:ptCount val="1"/>
                <c:pt idx="0">
                  <c:v>Sum of profit</c:v>
                </c:pt>
              </c:strCache>
            </c:strRef>
          </c:tx>
          <c:spPr>
            <a:solidFill>
              <a:schemeClr val="accent3"/>
            </a:solidFill>
            <a:ln>
              <a:noFill/>
            </a:ln>
            <a:effectLst/>
          </c:spPr>
          <c:invertIfNegative val="0"/>
          <c:cat>
            <c:strRef>
              <c:f>Profit_By_Product!$A$4:$A$8</c:f>
              <c:strCache>
                <c:ptCount val="4"/>
                <c:pt idx="0">
                  <c:v>The Birthday Sugar Panda</c:v>
                </c:pt>
                <c:pt idx="1">
                  <c:v>The Forever Love Bear</c:v>
                </c:pt>
                <c:pt idx="2">
                  <c:v>The Hudson River Mini bear</c:v>
                </c:pt>
                <c:pt idx="3">
                  <c:v>The Original Mr. Fuzzy</c:v>
                </c:pt>
              </c:strCache>
            </c:strRef>
          </c:cat>
          <c:val>
            <c:numRef>
              <c:f>Profit_By_Product!$D$4:$D$8</c:f>
              <c:numCache>
                <c:formatCode>General</c:formatCode>
                <c:ptCount val="4"/>
                <c:pt idx="0">
                  <c:v>157027.5</c:v>
                </c:pt>
                <c:pt idx="1">
                  <c:v>217350</c:v>
                </c:pt>
                <c:pt idx="2">
                  <c:v>102869</c:v>
                </c:pt>
                <c:pt idx="3">
                  <c:v>738893</c:v>
                </c:pt>
              </c:numCache>
            </c:numRef>
          </c:val>
          <c:extLst>
            <c:ext xmlns:c16="http://schemas.microsoft.com/office/drawing/2014/chart" uri="{C3380CC4-5D6E-409C-BE32-E72D297353CC}">
              <c16:uniqueId val="{00000002-D68F-464E-BC56-E9F29C0068BF}"/>
            </c:ext>
          </c:extLst>
        </c:ser>
        <c:dLbls>
          <c:showLegendKey val="0"/>
          <c:showVal val="0"/>
          <c:showCatName val="0"/>
          <c:showSerName val="0"/>
          <c:showPercent val="0"/>
          <c:showBubbleSize val="0"/>
        </c:dLbls>
        <c:gapWidth val="219"/>
        <c:overlap val="-27"/>
        <c:axId val="979983168"/>
        <c:axId val="948349392"/>
      </c:barChart>
      <c:catAx>
        <c:axId val="97998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349392"/>
        <c:crosses val="autoZero"/>
        <c:auto val="1"/>
        <c:lblAlgn val="ctr"/>
        <c:lblOffset val="100"/>
        <c:noMultiLvlLbl val="0"/>
      </c:catAx>
      <c:valAx>
        <c:axId val="94834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983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[Toy_store_e_analysis.xlsx]Monthly_Revenue!PivotTable4</c:name>
    <c:fmtId val="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27138939900883"/>
          <c:y val="0.18566610368610878"/>
          <c:w val="0.76737398639866494"/>
          <c:h val="0.6494104128267022"/>
        </c:manualLayout>
      </c:layout>
      <c:lineChart>
        <c:grouping val="standard"/>
        <c:varyColors val="0"/>
        <c:ser>
          <c:idx val="0"/>
          <c:order val="0"/>
          <c:tx>
            <c:strRef>
              <c:f>Monthly_Revenue!$B$3</c:f>
              <c:strCache>
                <c:ptCount val="1"/>
                <c:pt idx="0">
                  <c:v>Total</c:v>
                </c:pt>
              </c:strCache>
            </c:strRef>
          </c:tx>
          <c:spPr>
            <a:ln w="28575" cap="rnd">
              <a:solidFill>
                <a:schemeClr val="accent1"/>
              </a:solidFill>
              <a:round/>
            </a:ln>
            <a:effectLst/>
          </c:spPr>
          <c:marker>
            <c:symbol val="none"/>
          </c:marker>
          <c:cat>
            <c:multiLvlStrRef>
              <c:f>Monthly_Revenue!$A$4:$A$45</c:f>
              <c:multiLvlStrCache>
                <c:ptCount val="37"/>
                <c:lvl>
                  <c:pt idx="0">
                    <c:v>3</c:v>
                  </c:pt>
                  <c:pt idx="1">
                    <c:v>4</c:v>
                  </c:pt>
                  <c:pt idx="2">
                    <c:v>5</c:v>
                  </c:pt>
                  <c:pt idx="3">
                    <c:v>6</c:v>
                  </c:pt>
                  <c:pt idx="4">
                    <c:v>7</c:v>
                  </c:pt>
                  <c:pt idx="5">
                    <c:v>8</c:v>
                  </c:pt>
                  <c:pt idx="6">
                    <c:v>9</c:v>
                  </c:pt>
                  <c:pt idx="7">
                    <c:v>10</c:v>
                  </c:pt>
                  <c:pt idx="8">
                    <c:v>11</c:v>
                  </c:pt>
                  <c:pt idx="9">
                    <c:v>12</c:v>
                  </c:pt>
                  <c:pt idx="10">
                    <c:v>1</c:v>
                  </c:pt>
                  <c:pt idx="11">
                    <c:v>2</c:v>
                  </c:pt>
                  <c:pt idx="12">
                    <c:v>3</c:v>
                  </c:pt>
                  <c:pt idx="13">
                    <c:v>4</c:v>
                  </c:pt>
                  <c:pt idx="14">
                    <c:v>5</c:v>
                  </c:pt>
                  <c:pt idx="15">
                    <c:v>6</c:v>
                  </c:pt>
                  <c:pt idx="16">
                    <c:v>7</c:v>
                  </c:pt>
                  <c:pt idx="17">
                    <c:v>8</c:v>
                  </c:pt>
                  <c:pt idx="18">
                    <c:v>9</c:v>
                  </c:pt>
                  <c:pt idx="19">
                    <c:v>10</c:v>
                  </c:pt>
                  <c:pt idx="20">
                    <c:v>11</c:v>
                  </c:pt>
                  <c:pt idx="21">
                    <c:v>12</c:v>
                  </c:pt>
                  <c:pt idx="22">
                    <c:v>1</c:v>
                  </c:pt>
                  <c:pt idx="23">
                    <c:v>2</c:v>
                  </c:pt>
                  <c:pt idx="24">
                    <c:v>3</c:v>
                  </c:pt>
                  <c:pt idx="25">
                    <c:v>4</c:v>
                  </c:pt>
                  <c:pt idx="26">
                    <c:v>5</c:v>
                  </c:pt>
                  <c:pt idx="27">
                    <c:v>6</c:v>
                  </c:pt>
                  <c:pt idx="28">
                    <c:v>7</c:v>
                  </c:pt>
                  <c:pt idx="29">
                    <c:v>8</c:v>
                  </c:pt>
                  <c:pt idx="30">
                    <c:v>9</c:v>
                  </c:pt>
                  <c:pt idx="31">
                    <c:v>10</c:v>
                  </c:pt>
                  <c:pt idx="32">
                    <c:v>11</c:v>
                  </c:pt>
                  <c:pt idx="33">
                    <c:v>12</c:v>
                  </c:pt>
                  <c:pt idx="34">
                    <c:v>1</c:v>
                  </c:pt>
                  <c:pt idx="35">
                    <c:v>2</c:v>
                  </c:pt>
                  <c:pt idx="36">
                    <c:v>3</c:v>
                  </c:pt>
                </c:lvl>
                <c:lvl>
                  <c:pt idx="0">
                    <c:v>2012</c:v>
                  </c:pt>
                  <c:pt idx="10">
                    <c:v>2013</c:v>
                  </c:pt>
                  <c:pt idx="22">
                    <c:v>2014</c:v>
                  </c:pt>
                  <c:pt idx="34">
                    <c:v>2015</c:v>
                  </c:pt>
                </c:lvl>
              </c:multiLvlStrCache>
            </c:multiLvlStrRef>
          </c:cat>
          <c:val>
            <c:numRef>
              <c:f>Monthly_Revenue!$B$4:$B$45</c:f>
              <c:numCache>
                <c:formatCode>General</c:formatCode>
                <c:ptCount val="37"/>
                <c:pt idx="0">
                  <c:v>2999.4</c:v>
                </c:pt>
                <c:pt idx="1">
                  <c:v>4949.01</c:v>
                </c:pt>
                <c:pt idx="2">
                  <c:v>5398.92</c:v>
                </c:pt>
                <c:pt idx="3">
                  <c:v>6998.6</c:v>
                </c:pt>
                <c:pt idx="4">
                  <c:v>8448.31</c:v>
                </c:pt>
                <c:pt idx="5">
                  <c:v>11397.72</c:v>
                </c:pt>
                <c:pt idx="6">
                  <c:v>14347.13</c:v>
                </c:pt>
                <c:pt idx="7">
                  <c:v>18546.29</c:v>
                </c:pt>
                <c:pt idx="8">
                  <c:v>30893.82</c:v>
                </c:pt>
                <c:pt idx="9">
                  <c:v>25294.94</c:v>
                </c:pt>
                <c:pt idx="10">
                  <c:v>19966.099999999999</c:v>
                </c:pt>
                <c:pt idx="11">
                  <c:v>26515.02</c:v>
                </c:pt>
                <c:pt idx="12">
                  <c:v>19896.150000000001</c:v>
                </c:pt>
                <c:pt idx="13">
                  <c:v>28584.47</c:v>
                </c:pt>
                <c:pt idx="14">
                  <c:v>29364.29</c:v>
                </c:pt>
                <c:pt idx="15">
                  <c:v>30544.07</c:v>
                </c:pt>
                <c:pt idx="16">
                  <c:v>31143.96</c:v>
                </c:pt>
                <c:pt idx="17">
                  <c:v>31373.919999999998</c:v>
                </c:pt>
                <c:pt idx="18">
                  <c:v>32723.65</c:v>
                </c:pt>
                <c:pt idx="19">
                  <c:v>38242.620000000003</c:v>
                </c:pt>
                <c:pt idx="20">
                  <c:v>46631.02</c:v>
                </c:pt>
                <c:pt idx="21">
                  <c:v>58262.6</c:v>
                </c:pt>
                <c:pt idx="22">
                  <c:v>56568.89</c:v>
                </c:pt>
                <c:pt idx="23">
                  <c:v>66012.52</c:v>
                </c:pt>
                <c:pt idx="24">
                  <c:v>68189.73</c:v>
                </c:pt>
                <c:pt idx="25">
                  <c:v>78725.429999999993</c:v>
                </c:pt>
                <c:pt idx="26">
                  <c:v>88935.27</c:v>
                </c:pt>
                <c:pt idx="27">
                  <c:v>80051.25</c:v>
                </c:pt>
                <c:pt idx="28">
                  <c:v>83288.55</c:v>
                </c:pt>
                <c:pt idx="29">
                  <c:v>84716.08</c:v>
                </c:pt>
                <c:pt idx="30">
                  <c:v>92232.49</c:v>
                </c:pt>
                <c:pt idx="31">
                  <c:v>103905.98</c:v>
                </c:pt>
                <c:pt idx="32">
                  <c:v>128162.98</c:v>
                </c:pt>
                <c:pt idx="33">
                  <c:v>144823.01999999999</c:v>
                </c:pt>
                <c:pt idx="34">
                  <c:v>132211.54</c:v>
                </c:pt>
                <c:pt idx="35">
                  <c:v>129212.94</c:v>
                </c:pt>
                <c:pt idx="36">
                  <c:v>78951.070000000007</c:v>
                </c:pt>
              </c:numCache>
            </c:numRef>
          </c:val>
          <c:smooth val="0"/>
          <c:extLst>
            <c:ext xmlns:c16="http://schemas.microsoft.com/office/drawing/2014/chart" uri="{C3380CC4-5D6E-409C-BE32-E72D297353CC}">
              <c16:uniqueId val="{00000000-92C3-4EAE-B9C7-5CB42F044744}"/>
            </c:ext>
          </c:extLst>
        </c:ser>
        <c:dLbls>
          <c:showLegendKey val="0"/>
          <c:showVal val="0"/>
          <c:showCatName val="0"/>
          <c:showSerName val="0"/>
          <c:showPercent val="0"/>
          <c:showBubbleSize val="0"/>
        </c:dLbls>
        <c:smooth val="0"/>
        <c:axId val="1073999360"/>
        <c:axId val="800519888"/>
      </c:lineChart>
      <c:catAx>
        <c:axId val="1073999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00519888"/>
        <c:crosses val="autoZero"/>
        <c:auto val="1"/>
        <c:lblAlgn val="ctr"/>
        <c:lblOffset val="100"/>
        <c:noMultiLvlLbl val="0"/>
      </c:catAx>
      <c:valAx>
        <c:axId val="800519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07399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accent1"/>
      </a:solid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[Toy_store_e_analysis.xlsx]Profit_By_Product!PivotTable3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Revenue,</a:t>
            </a:r>
            <a:r>
              <a:rPr lang="en-US" b="1" baseline="0">
                <a:solidFill>
                  <a:schemeClr val="accent1"/>
                </a:solidFill>
              </a:rPr>
              <a:t> Cost, and Profit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Profit_By_Product!$B$3</c:f>
              <c:strCache>
                <c:ptCount val="1"/>
                <c:pt idx="0">
                  <c:v>Sum of revenue</c:v>
                </c:pt>
              </c:strCache>
            </c:strRef>
          </c:tx>
          <c:spPr>
            <a:solidFill>
              <a:schemeClr val="accent1"/>
            </a:solidFill>
            <a:ln>
              <a:noFill/>
            </a:ln>
            <a:effectLst/>
          </c:spPr>
          <c:invertIfNegative val="0"/>
          <c:cat>
            <c:strRef>
              <c:f>Profit_By_Product!$A$4:$A$8</c:f>
              <c:strCache>
                <c:ptCount val="4"/>
                <c:pt idx="0">
                  <c:v>The Birthday Sugar Panda</c:v>
                </c:pt>
                <c:pt idx="1">
                  <c:v>The Forever Love Bear</c:v>
                </c:pt>
                <c:pt idx="2">
                  <c:v>The Hudson River Mini bear</c:v>
                </c:pt>
                <c:pt idx="3">
                  <c:v>The Original Mr. Fuzzy</c:v>
                </c:pt>
              </c:strCache>
            </c:strRef>
          </c:cat>
          <c:val>
            <c:numRef>
              <c:f>Profit_By_Product!$B$4:$B$8</c:f>
              <c:numCache>
                <c:formatCode>General</c:formatCode>
                <c:ptCount val="4"/>
                <c:pt idx="0">
                  <c:v>229260.15</c:v>
                </c:pt>
                <c:pt idx="1">
                  <c:v>347702.04</c:v>
                </c:pt>
                <c:pt idx="2">
                  <c:v>150489.82</c:v>
                </c:pt>
                <c:pt idx="3">
                  <c:v>1211057.74</c:v>
                </c:pt>
              </c:numCache>
            </c:numRef>
          </c:val>
          <c:extLst>
            <c:ext xmlns:c16="http://schemas.microsoft.com/office/drawing/2014/chart" uri="{C3380CC4-5D6E-409C-BE32-E72D297353CC}">
              <c16:uniqueId val="{00000000-2EC6-49A6-B3CC-02C2956996A6}"/>
            </c:ext>
          </c:extLst>
        </c:ser>
        <c:ser>
          <c:idx val="1"/>
          <c:order val="1"/>
          <c:tx>
            <c:strRef>
              <c:f>Profit_By_Product!$C$3</c:f>
              <c:strCache>
                <c:ptCount val="1"/>
                <c:pt idx="0">
                  <c:v>Sum of cost_of_goods</c:v>
                </c:pt>
              </c:strCache>
            </c:strRef>
          </c:tx>
          <c:spPr>
            <a:solidFill>
              <a:schemeClr val="accent2"/>
            </a:solidFill>
            <a:ln>
              <a:noFill/>
            </a:ln>
            <a:effectLst/>
          </c:spPr>
          <c:invertIfNegative val="0"/>
          <c:cat>
            <c:strRef>
              <c:f>Profit_By_Product!$A$4:$A$8</c:f>
              <c:strCache>
                <c:ptCount val="4"/>
                <c:pt idx="0">
                  <c:v>The Birthday Sugar Panda</c:v>
                </c:pt>
                <c:pt idx="1">
                  <c:v>The Forever Love Bear</c:v>
                </c:pt>
                <c:pt idx="2">
                  <c:v>The Hudson River Mini bear</c:v>
                </c:pt>
                <c:pt idx="3">
                  <c:v>The Original Mr. Fuzzy</c:v>
                </c:pt>
              </c:strCache>
            </c:strRef>
          </c:cat>
          <c:val>
            <c:numRef>
              <c:f>Profit_By_Product!$C$4:$C$8</c:f>
              <c:numCache>
                <c:formatCode>General</c:formatCode>
                <c:ptCount val="4"/>
                <c:pt idx="0">
                  <c:v>72232.649999999994</c:v>
                </c:pt>
                <c:pt idx="1">
                  <c:v>130352.04</c:v>
                </c:pt>
                <c:pt idx="2">
                  <c:v>47620.82</c:v>
                </c:pt>
                <c:pt idx="3">
                  <c:v>472164.74</c:v>
                </c:pt>
              </c:numCache>
            </c:numRef>
          </c:val>
          <c:extLst>
            <c:ext xmlns:c16="http://schemas.microsoft.com/office/drawing/2014/chart" uri="{C3380CC4-5D6E-409C-BE32-E72D297353CC}">
              <c16:uniqueId val="{00000001-2EC6-49A6-B3CC-02C2956996A6}"/>
            </c:ext>
          </c:extLst>
        </c:ser>
        <c:ser>
          <c:idx val="2"/>
          <c:order val="2"/>
          <c:tx>
            <c:strRef>
              <c:f>Profit_By_Product!$D$3</c:f>
              <c:strCache>
                <c:ptCount val="1"/>
                <c:pt idx="0">
                  <c:v>Sum of profit</c:v>
                </c:pt>
              </c:strCache>
            </c:strRef>
          </c:tx>
          <c:spPr>
            <a:solidFill>
              <a:schemeClr val="accent3"/>
            </a:solidFill>
            <a:ln>
              <a:noFill/>
            </a:ln>
            <a:effectLst/>
          </c:spPr>
          <c:invertIfNegative val="0"/>
          <c:cat>
            <c:strRef>
              <c:f>Profit_By_Product!$A$4:$A$8</c:f>
              <c:strCache>
                <c:ptCount val="4"/>
                <c:pt idx="0">
                  <c:v>The Birthday Sugar Panda</c:v>
                </c:pt>
                <c:pt idx="1">
                  <c:v>The Forever Love Bear</c:v>
                </c:pt>
                <c:pt idx="2">
                  <c:v>The Hudson River Mini bear</c:v>
                </c:pt>
                <c:pt idx="3">
                  <c:v>The Original Mr. Fuzzy</c:v>
                </c:pt>
              </c:strCache>
            </c:strRef>
          </c:cat>
          <c:val>
            <c:numRef>
              <c:f>Profit_By_Product!$D$4:$D$8</c:f>
              <c:numCache>
                <c:formatCode>General</c:formatCode>
                <c:ptCount val="4"/>
                <c:pt idx="0">
                  <c:v>157027.5</c:v>
                </c:pt>
                <c:pt idx="1">
                  <c:v>217350</c:v>
                </c:pt>
                <c:pt idx="2">
                  <c:v>102869</c:v>
                </c:pt>
                <c:pt idx="3">
                  <c:v>738893</c:v>
                </c:pt>
              </c:numCache>
            </c:numRef>
          </c:val>
          <c:extLst>
            <c:ext xmlns:c16="http://schemas.microsoft.com/office/drawing/2014/chart" uri="{C3380CC4-5D6E-409C-BE32-E72D297353CC}">
              <c16:uniqueId val="{00000002-2EC6-49A6-B3CC-02C2956996A6}"/>
            </c:ext>
          </c:extLst>
        </c:ser>
        <c:dLbls>
          <c:showLegendKey val="0"/>
          <c:showVal val="0"/>
          <c:showCatName val="0"/>
          <c:showSerName val="0"/>
          <c:showPercent val="0"/>
          <c:showBubbleSize val="0"/>
        </c:dLbls>
        <c:gapWidth val="219"/>
        <c:overlap val="-27"/>
        <c:axId val="979983168"/>
        <c:axId val="948349392"/>
      </c:barChart>
      <c:catAx>
        <c:axId val="979983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349392"/>
        <c:crosses val="autoZero"/>
        <c:auto val="1"/>
        <c:lblAlgn val="ctr"/>
        <c:lblOffset val="100"/>
        <c:noMultiLvlLbl val="0"/>
      </c:catAx>
      <c:valAx>
        <c:axId val="9483493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983168"/>
        <c:crosses val="autoZero"/>
        <c:crossBetween val="between"/>
      </c:valAx>
      <c:spPr>
        <a:noFill/>
        <a:ln>
          <a:noFill/>
        </a:ln>
        <a:effectLst/>
      </c:spPr>
    </c:plotArea>
    <c:legend>
      <c:legendPos val="r"/>
      <c:layout>
        <c:manualLayout>
          <c:xMode val="edge"/>
          <c:yMode val="edge"/>
          <c:x val="0.82642932150181148"/>
          <c:y val="0.53711160710401329"/>
          <c:w val="0.17357067849818844"/>
          <c:h val="0.4603674901355652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[Toy_store_e_analysis.xlsx]Monthly_Revenue!PivotTable4</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dLbl>
          <c:idx val="0"/>
          <c:showLegendKey val="0"/>
          <c:showVal val="0"/>
          <c:showCatName val="0"/>
          <c:showSerName val="0"/>
          <c:showPercent val="0"/>
          <c:showBubbleSize val="0"/>
          <c:extLst>
            <c:ext xmlns:c15="http://schemas.microsoft.com/office/drawing/2012/chart" uri="{CE6537A1-D6FC-4f65-9D91-7224C49458BB}"/>
          </c:extLst>
        </c:dLbl>
      </c:pivotFmt>
      <c:pivotFmt>
        <c:idx val="33"/>
        <c:dLbl>
          <c:idx val="0"/>
          <c:showLegendKey val="0"/>
          <c:showVal val="0"/>
          <c:showCatName val="0"/>
          <c:showSerName val="0"/>
          <c:showPercent val="0"/>
          <c:showBubbleSize val="0"/>
          <c:extLst>
            <c:ext xmlns:c15="http://schemas.microsoft.com/office/drawing/2012/chart" uri="{CE6537A1-D6FC-4f65-9D91-7224C49458BB}"/>
          </c:extLst>
        </c:dLbl>
      </c:pivotFmt>
      <c:pivotFmt>
        <c:idx val="34"/>
        <c:dLbl>
          <c:idx val="0"/>
          <c:showLegendKey val="0"/>
          <c:showVal val="0"/>
          <c:showCatName val="0"/>
          <c:showSerName val="0"/>
          <c:showPercent val="0"/>
          <c:showBubbleSize val="0"/>
          <c:extLst>
            <c:ext xmlns:c15="http://schemas.microsoft.com/office/drawing/2012/chart" uri="{CE6537A1-D6FC-4f65-9D91-7224C49458BB}"/>
          </c:extLst>
        </c:dLbl>
      </c:pivotFmt>
      <c:pivotFmt>
        <c:idx val="35"/>
        <c:dLbl>
          <c:idx val="0"/>
          <c:showLegendKey val="0"/>
          <c:showVal val="0"/>
          <c:showCatName val="0"/>
          <c:showSerName val="0"/>
          <c:showPercent val="0"/>
          <c:showBubbleSize val="0"/>
          <c:extLst>
            <c:ext xmlns:c15="http://schemas.microsoft.com/office/drawing/2012/chart" uri="{CE6537A1-D6FC-4f65-9D91-7224C49458BB}"/>
          </c:extLst>
        </c:dLbl>
      </c:pivotFmt>
      <c:pivotFmt>
        <c:idx val="36"/>
        <c:dLbl>
          <c:idx val="0"/>
          <c:showLegendKey val="0"/>
          <c:showVal val="0"/>
          <c:showCatName val="0"/>
          <c:showSerName val="0"/>
          <c:showPercent val="0"/>
          <c:showBubbleSize val="0"/>
          <c:extLst>
            <c:ext xmlns:c15="http://schemas.microsoft.com/office/drawing/2012/chart" uri="{CE6537A1-D6FC-4f65-9D91-7224C49458BB}"/>
          </c:extLst>
        </c:dLbl>
      </c:pivotFmt>
      <c:pivotFmt>
        <c:idx val="37"/>
        <c:dLbl>
          <c:idx val="0"/>
          <c:showLegendKey val="0"/>
          <c:showVal val="0"/>
          <c:showCatName val="0"/>
          <c:showSerName val="0"/>
          <c:showPercent val="0"/>
          <c:showBubbleSize val="0"/>
          <c:extLst>
            <c:ext xmlns:c15="http://schemas.microsoft.com/office/drawing/2012/chart" uri="{CE6537A1-D6FC-4f65-9D91-7224C49458BB}"/>
          </c:extLst>
        </c:dLbl>
      </c:pivotFmt>
      <c:pivotFmt>
        <c:idx val="38"/>
        <c:dLbl>
          <c:idx val="0"/>
          <c:showLegendKey val="0"/>
          <c:showVal val="0"/>
          <c:showCatName val="0"/>
          <c:showSerName val="0"/>
          <c:showPercent val="0"/>
          <c:showBubbleSize val="0"/>
          <c:extLst>
            <c:ext xmlns:c15="http://schemas.microsoft.com/office/drawing/2012/chart" uri="{CE6537A1-D6FC-4f65-9D91-7224C49458BB}"/>
          </c:extLst>
        </c:dLbl>
      </c:pivotFmt>
      <c:pivotFmt>
        <c:idx val="39"/>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227138939900883"/>
          <c:y val="0.18566610368610878"/>
          <c:w val="0.76737398639866494"/>
          <c:h val="0.6494104128267022"/>
        </c:manualLayout>
      </c:layout>
      <c:lineChart>
        <c:grouping val="standard"/>
        <c:varyColors val="0"/>
        <c:ser>
          <c:idx val="0"/>
          <c:order val="0"/>
          <c:tx>
            <c:strRef>
              <c:f>Monthly_Revenue!$B$3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multiLvlStrRef>
              <c:f>Monthly_Revenue!$A$4:$A$45</c:f>
              <c:multiLvlStrCache>
                <c:ptCount val="37"/>
                <c:lvl>
                  <c:pt idx="0">
                    <c:v>3</c:v>
                  </c:pt>
                  <c:pt idx="1">
                    <c:v>4</c:v>
                  </c:pt>
                  <c:pt idx="2">
                    <c:v>5</c:v>
                  </c:pt>
                  <c:pt idx="3">
                    <c:v>6</c:v>
                  </c:pt>
                  <c:pt idx="4">
                    <c:v>7</c:v>
                  </c:pt>
                  <c:pt idx="5">
                    <c:v>8</c:v>
                  </c:pt>
                  <c:pt idx="6">
                    <c:v>9</c:v>
                  </c:pt>
                  <c:pt idx="7">
                    <c:v>10</c:v>
                  </c:pt>
                  <c:pt idx="8">
                    <c:v>11</c:v>
                  </c:pt>
                  <c:pt idx="9">
                    <c:v>12</c:v>
                  </c:pt>
                  <c:pt idx="10">
                    <c:v>1</c:v>
                  </c:pt>
                  <c:pt idx="11">
                    <c:v>2</c:v>
                  </c:pt>
                  <c:pt idx="12">
                    <c:v>3</c:v>
                  </c:pt>
                  <c:pt idx="13">
                    <c:v>4</c:v>
                  </c:pt>
                  <c:pt idx="14">
                    <c:v>5</c:v>
                  </c:pt>
                  <c:pt idx="15">
                    <c:v>6</c:v>
                  </c:pt>
                  <c:pt idx="16">
                    <c:v>7</c:v>
                  </c:pt>
                  <c:pt idx="17">
                    <c:v>8</c:v>
                  </c:pt>
                  <c:pt idx="18">
                    <c:v>9</c:v>
                  </c:pt>
                  <c:pt idx="19">
                    <c:v>10</c:v>
                  </c:pt>
                  <c:pt idx="20">
                    <c:v>11</c:v>
                  </c:pt>
                  <c:pt idx="21">
                    <c:v>12</c:v>
                  </c:pt>
                  <c:pt idx="22">
                    <c:v>1</c:v>
                  </c:pt>
                  <c:pt idx="23">
                    <c:v>2</c:v>
                  </c:pt>
                  <c:pt idx="24">
                    <c:v>3</c:v>
                  </c:pt>
                  <c:pt idx="25">
                    <c:v>4</c:v>
                  </c:pt>
                  <c:pt idx="26">
                    <c:v>5</c:v>
                  </c:pt>
                  <c:pt idx="27">
                    <c:v>6</c:v>
                  </c:pt>
                  <c:pt idx="28">
                    <c:v>7</c:v>
                  </c:pt>
                  <c:pt idx="29">
                    <c:v>8</c:v>
                  </c:pt>
                  <c:pt idx="30">
                    <c:v>9</c:v>
                  </c:pt>
                  <c:pt idx="31">
                    <c:v>10</c:v>
                  </c:pt>
                  <c:pt idx="32">
                    <c:v>11</c:v>
                  </c:pt>
                  <c:pt idx="33">
                    <c:v>12</c:v>
                  </c:pt>
                  <c:pt idx="34">
                    <c:v>1</c:v>
                  </c:pt>
                  <c:pt idx="35">
                    <c:v>2</c:v>
                  </c:pt>
                  <c:pt idx="36">
                    <c:v>3</c:v>
                  </c:pt>
                </c:lvl>
                <c:lvl>
                  <c:pt idx="0">
                    <c:v>2012</c:v>
                  </c:pt>
                  <c:pt idx="10">
                    <c:v>2013</c:v>
                  </c:pt>
                  <c:pt idx="22">
                    <c:v>2014</c:v>
                  </c:pt>
                  <c:pt idx="34">
                    <c:v>2015</c:v>
                  </c:pt>
                </c:lvl>
              </c:multiLvlStrCache>
            </c:multiLvlStrRef>
          </c:cat>
          <c:val>
            <c:numRef>
              <c:f>Monthly_Revenue!$B$4:$B$45</c:f>
              <c:numCache>
                <c:formatCode>General</c:formatCode>
                <c:ptCount val="37"/>
                <c:pt idx="0">
                  <c:v>2999.4</c:v>
                </c:pt>
                <c:pt idx="1">
                  <c:v>4949.01</c:v>
                </c:pt>
                <c:pt idx="2">
                  <c:v>5398.92</c:v>
                </c:pt>
                <c:pt idx="3">
                  <c:v>6998.6</c:v>
                </c:pt>
                <c:pt idx="4">
                  <c:v>8448.31</c:v>
                </c:pt>
                <c:pt idx="5">
                  <c:v>11397.72</c:v>
                </c:pt>
                <c:pt idx="6">
                  <c:v>14347.13</c:v>
                </c:pt>
                <c:pt idx="7">
                  <c:v>18546.29</c:v>
                </c:pt>
                <c:pt idx="8">
                  <c:v>30893.82</c:v>
                </c:pt>
                <c:pt idx="9">
                  <c:v>25294.94</c:v>
                </c:pt>
                <c:pt idx="10">
                  <c:v>19966.099999999999</c:v>
                </c:pt>
                <c:pt idx="11">
                  <c:v>26515.02</c:v>
                </c:pt>
                <c:pt idx="12">
                  <c:v>19896.150000000001</c:v>
                </c:pt>
                <c:pt idx="13">
                  <c:v>28584.47</c:v>
                </c:pt>
                <c:pt idx="14">
                  <c:v>29364.29</c:v>
                </c:pt>
                <c:pt idx="15">
                  <c:v>30544.07</c:v>
                </c:pt>
                <c:pt idx="16">
                  <c:v>31143.96</c:v>
                </c:pt>
                <c:pt idx="17">
                  <c:v>31373.919999999998</c:v>
                </c:pt>
                <c:pt idx="18">
                  <c:v>32723.65</c:v>
                </c:pt>
                <c:pt idx="19">
                  <c:v>38242.620000000003</c:v>
                </c:pt>
                <c:pt idx="20">
                  <c:v>46631.02</c:v>
                </c:pt>
                <c:pt idx="21">
                  <c:v>58262.6</c:v>
                </c:pt>
                <c:pt idx="22">
                  <c:v>56568.89</c:v>
                </c:pt>
                <c:pt idx="23">
                  <c:v>66012.52</c:v>
                </c:pt>
                <c:pt idx="24">
                  <c:v>68189.73</c:v>
                </c:pt>
                <c:pt idx="25">
                  <c:v>78725.429999999993</c:v>
                </c:pt>
                <c:pt idx="26">
                  <c:v>88935.27</c:v>
                </c:pt>
                <c:pt idx="27">
                  <c:v>80051.25</c:v>
                </c:pt>
                <c:pt idx="28">
                  <c:v>83288.55</c:v>
                </c:pt>
                <c:pt idx="29">
                  <c:v>84716.08</c:v>
                </c:pt>
                <c:pt idx="30">
                  <c:v>92232.49</c:v>
                </c:pt>
                <c:pt idx="31">
                  <c:v>103905.98</c:v>
                </c:pt>
                <c:pt idx="32">
                  <c:v>128162.98</c:v>
                </c:pt>
                <c:pt idx="33">
                  <c:v>144823.01999999999</c:v>
                </c:pt>
                <c:pt idx="34">
                  <c:v>132211.54</c:v>
                </c:pt>
                <c:pt idx="35">
                  <c:v>129212.94</c:v>
                </c:pt>
                <c:pt idx="36">
                  <c:v>78951.070000000007</c:v>
                </c:pt>
              </c:numCache>
            </c:numRef>
          </c:val>
          <c:smooth val="0"/>
          <c:extLst>
            <c:ext xmlns:c16="http://schemas.microsoft.com/office/drawing/2014/chart" uri="{C3380CC4-5D6E-409C-BE32-E72D297353CC}">
              <c16:uniqueId val="{00000000-64F0-4AA9-AA84-C4A84B016125}"/>
            </c:ext>
          </c:extLst>
        </c:ser>
        <c:dLbls>
          <c:showLegendKey val="0"/>
          <c:showVal val="0"/>
          <c:showCatName val="0"/>
          <c:showSerName val="0"/>
          <c:showPercent val="0"/>
          <c:showBubbleSize val="0"/>
        </c:dLbls>
        <c:marker val="1"/>
        <c:smooth val="0"/>
        <c:axId val="1073999360"/>
        <c:axId val="800519888"/>
      </c:lineChart>
      <c:catAx>
        <c:axId val="1073999360"/>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00519888"/>
        <c:crosses val="autoZero"/>
        <c:auto val="1"/>
        <c:lblAlgn val="ctr"/>
        <c:lblOffset val="100"/>
        <c:noMultiLvlLbl val="0"/>
      </c:catAx>
      <c:valAx>
        <c:axId val="800519888"/>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739993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Refund</a:t>
            </a:r>
            <a:r>
              <a:rPr lang="en-US" b="1" baseline="0">
                <a:solidFill>
                  <a:schemeClr val="accent1"/>
                </a:solidFill>
              </a:rPr>
              <a:t> Activity by Product</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Sum of quantity_returned</c:v>
          </c:tx>
          <c:spPr>
            <a:solidFill>
              <a:schemeClr val="accent1"/>
            </a:solidFill>
            <a:ln>
              <a:noFill/>
            </a:ln>
            <a:effectLst/>
          </c:spPr>
          <c:invertIfNegative val="0"/>
          <c:cat>
            <c:strLit>
              <c:ptCount val="4"/>
              <c:pt idx="0">
                <c:v>The Birthday Sugar Panda</c:v>
              </c:pt>
              <c:pt idx="1">
                <c:v>The Forever Love Bear</c:v>
              </c:pt>
              <c:pt idx="2">
                <c:v>The Hudson River Mini bear</c:v>
              </c:pt>
              <c:pt idx="3">
                <c:v>The Original Mr. Fuzzy</c:v>
              </c:pt>
            </c:strLit>
          </c:cat>
          <c:val>
            <c:numLit>
              <c:formatCode>General</c:formatCode>
              <c:ptCount val="4"/>
              <c:pt idx="0">
                <c:v>301</c:v>
              </c:pt>
              <c:pt idx="1">
                <c:v>129</c:v>
              </c:pt>
              <c:pt idx="2">
                <c:v>64</c:v>
              </c:pt>
              <c:pt idx="3">
                <c:v>1237</c:v>
              </c:pt>
            </c:numLit>
          </c:val>
          <c:extLst>
            <c:ext xmlns:c16="http://schemas.microsoft.com/office/drawing/2014/chart" uri="{C3380CC4-5D6E-409C-BE32-E72D297353CC}">
              <c16:uniqueId val="{00000000-8A10-4C5C-AEE6-FABC1D4C2C4D}"/>
            </c:ext>
          </c:extLst>
        </c:ser>
        <c:ser>
          <c:idx val="1"/>
          <c:order val="1"/>
          <c:tx>
            <c:v>Sum of total_refunded</c:v>
          </c:tx>
          <c:spPr>
            <a:solidFill>
              <a:schemeClr val="accent2"/>
            </a:solidFill>
            <a:ln>
              <a:noFill/>
            </a:ln>
            <a:effectLst/>
          </c:spPr>
          <c:invertIfNegative val="0"/>
          <c:cat>
            <c:strLit>
              <c:ptCount val="4"/>
              <c:pt idx="0">
                <c:v>The Birthday Sugar Panda</c:v>
              </c:pt>
              <c:pt idx="1">
                <c:v>The Forever Love Bear</c:v>
              </c:pt>
              <c:pt idx="2">
                <c:v>The Hudson River Mini bear</c:v>
              </c:pt>
              <c:pt idx="3">
                <c:v>The Original Mr. Fuzzy</c:v>
              </c:pt>
            </c:strLit>
          </c:cat>
          <c:val>
            <c:numLit>
              <c:formatCode>General</c:formatCode>
              <c:ptCount val="4"/>
              <c:pt idx="0">
                <c:v>13842.99</c:v>
              </c:pt>
              <c:pt idx="1">
                <c:v>7738.71</c:v>
              </c:pt>
              <c:pt idx="2">
                <c:v>1919.36</c:v>
              </c:pt>
              <c:pt idx="3">
                <c:v>61837.63</c:v>
              </c:pt>
            </c:numLit>
          </c:val>
          <c:extLst>
            <c:ext xmlns:c16="http://schemas.microsoft.com/office/drawing/2014/chart" uri="{C3380CC4-5D6E-409C-BE32-E72D297353CC}">
              <c16:uniqueId val="{00000001-8A10-4C5C-AEE6-FABC1D4C2C4D}"/>
            </c:ext>
          </c:extLst>
        </c:ser>
        <c:dLbls>
          <c:showLegendKey val="0"/>
          <c:showVal val="0"/>
          <c:showCatName val="0"/>
          <c:showSerName val="0"/>
          <c:showPercent val="0"/>
          <c:showBubbleSize val="0"/>
        </c:dLbls>
        <c:gapWidth val="219"/>
        <c:overlap val="-27"/>
        <c:axId val="893297328"/>
        <c:axId val="948328752"/>
      </c:barChart>
      <c:catAx>
        <c:axId val="8932973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328752"/>
        <c:crosses val="autoZero"/>
        <c:auto val="1"/>
        <c:lblAlgn val="ctr"/>
        <c:lblOffset val="100"/>
        <c:noMultiLvlLbl val="0"/>
      </c:catAx>
      <c:valAx>
        <c:axId val="948328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3297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Monthly Profit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580927384076992E-2"/>
          <c:y val="0.25865522018081066"/>
          <c:w val="0.74962685914260718"/>
          <c:h val="0.46117782152230974"/>
        </c:manualLayout>
      </c:layout>
      <c:lineChart>
        <c:grouping val="standard"/>
        <c:varyColors val="0"/>
        <c:ser>
          <c:idx val="0"/>
          <c:order val="0"/>
          <c:tx>
            <c:v>Total</c:v>
          </c:tx>
          <c:spPr>
            <a:ln w="28575" cap="rnd">
              <a:solidFill>
                <a:schemeClr val="accent1"/>
              </a:solidFill>
              <a:round/>
            </a:ln>
            <a:effectLst/>
          </c:spPr>
          <c:marker>
            <c:symbol val="none"/>
          </c:marker>
          <c:cat>
            <c:strLit>
              <c:ptCount val="37"/>
              <c:pt idx="0">
                <c:v>2012 3</c:v>
              </c:pt>
              <c:pt idx="1">
                <c:v>2012 4</c:v>
              </c:pt>
              <c:pt idx="2">
                <c:v>2012 5</c:v>
              </c:pt>
              <c:pt idx="3">
                <c:v>2012 6</c:v>
              </c:pt>
              <c:pt idx="4">
                <c:v>2012 7</c:v>
              </c:pt>
              <c:pt idx="5">
                <c:v>2012 8</c:v>
              </c:pt>
              <c:pt idx="6">
                <c:v>2012 9</c:v>
              </c:pt>
              <c:pt idx="7">
                <c:v>2012 10</c:v>
              </c:pt>
              <c:pt idx="8">
                <c:v>2012 11</c:v>
              </c:pt>
              <c:pt idx="9">
                <c:v>2012 12</c:v>
              </c:pt>
              <c:pt idx="10">
                <c:v>2013 1</c:v>
              </c:pt>
              <c:pt idx="11">
                <c:v>2013 2</c:v>
              </c:pt>
              <c:pt idx="12">
                <c:v>2013 3</c:v>
              </c:pt>
              <c:pt idx="13">
                <c:v>2013 4</c:v>
              </c:pt>
              <c:pt idx="14">
                <c:v>2013 5</c:v>
              </c:pt>
              <c:pt idx="15">
                <c:v>2013 6</c:v>
              </c:pt>
              <c:pt idx="16">
                <c:v>2013 7</c:v>
              </c:pt>
              <c:pt idx="17">
                <c:v>2013 8</c:v>
              </c:pt>
              <c:pt idx="18">
                <c:v>2013 9</c:v>
              </c:pt>
              <c:pt idx="19">
                <c:v>2013 10</c:v>
              </c:pt>
              <c:pt idx="20">
                <c:v>2013 11</c:v>
              </c:pt>
              <c:pt idx="21">
                <c:v>2013 12</c:v>
              </c:pt>
              <c:pt idx="22">
                <c:v>2014 1</c:v>
              </c:pt>
              <c:pt idx="23">
                <c:v>2014 2</c:v>
              </c:pt>
              <c:pt idx="24">
                <c:v>2014 3</c:v>
              </c:pt>
              <c:pt idx="25">
                <c:v>2014 4</c:v>
              </c:pt>
              <c:pt idx="26">
                <c:v>2014 5</c:v>
              </c:pt>
              <c:pt idx="27">
                <c:v>2014 6</c:v>
              </c:pt>
              <c:pt idx="28">
                <c:v>2014 7</c:v>
              </c:pt>
              <c:pt idx="29">
                <c:v>2014 8</c:v>
              </c:pt>
              <c:pt idx="30">
                <c:v>2014 9</c:v>
              </c:pt>
              <c:pt idx="31">
                <c:v>2014 10</c:v>
              </c:pt>
              <c:pt idx="32">
                <c:v>2014 11</c:v>
              </c:pt>
              <c:pt idx="33">
                <c:v>2014 12</c:v>
              </c:pt>
              <c:pt idx="34">
                <c:v>2015 1</c:v>
              </c:pt>
              <c:pt idx="35">
                <c:v>2015 2</c:v>
              </c:pt>
              <c:pt idx="36">
                <c:v>2015 3</c:v>
              </c:pt>
            </c:strLit>
          </c:cat>
          <c:val>
            <c:numLit>
              <c:formatCode>General</c:formatCode>
              <c:ptCount val="37"/>
              <c:pt idx="0">
                <c:v>49.99</c:v>
              </c:pt>
              <c:pt idx="1">
                <c:v>49.99</c:v>
              </c:pt>
              <c:pt idx="2">
                <c:v>49.99</c:v>
              </c:pt>
              <c:pt idx="3">
                <c:v>49.99</c:v>
              </c:pt>
              <c:pt idx="4">
                <c:v>49.99</c:v>
              </c:pt>
              <c:pt idx="5">
                <c:v>49.99</c:v>
              </c:pt>
              <c:pt idx="6">
                <c:v>49.99</c:v>
              </c:pt>
              <c:pt idx="7">
                <c:v>49.99</c:v>
              </c:pt>
              <c:pt idx="8">
                <c:v>49.99</c:v>
              </c:pt>
              <c:pt idx="9">
                <c:v>49.99</c:v>
              </c:pt>
              <c:pt idx="10">
                <c:v>51.2</c:v>
              </c:pt>
              <c:pt idx="11">
                <c:v>53.24</c:v>
              </c:pt>
              <c:pt idx="12">
                <c:v>51.68</c:v>
              </c:pt>
              <c:pt idx="13">
                <c:v>51.69</c:v>
              </c:pt>
              <c:pt idx="14">
                <c:v>51.43</c:v>
              </c:pt>
              <c:pt idx="15">
                <c:v>51.51</c:v>
              </c:pt>
              <c:pt idx="16">
                <c:v>51.56</c:v>
              </c:pt>
              <c:pt idx="17">
                <c:v>51.6</c:v>
              </c:pt>
              <c:pt idx="18">
                <c:v>52.02</c:v>
              </c:pt>
              <c:pt idx="19">
                <c:v>54.02</c:v>
              </c:pt>
              <c:pt idx="20">
                <c:v>54.16</c:v>
              </c:pt>
              <c:pt idx="21">
                <c:v>55.65</c:v>
              </c:pt>
              <c:pt idx="22">
                <c:v>57.61</c:v>
              </c:pt>
              <c:pt idx="23">
                <c:v>64.650000000000006</c:v>
              </c:pt>
              <c:pt idx="24">
                <c:v>63.97</c:v>
              </c:pt>
              <c:pt idx="25">
                <c:v>63.44</c:v>
              </c:pt>
              <c:pt idx="26">
                <c:v>65.010000000000005</c:v>
              </c:pt>
              <c:pt idx="27">
                <c:v>64.61</c:v>
              </c:pt>
              <c:pt idx="28">
                <c:v>64.77</c:v>
              </c:pt>
              <c:pt idx="29">
                <c:v>63.94</c:v>
              </c:pt>
              <c:pt idx="30">
                <c:v>64.77</c:v>
              </c:pt>
              <c:pt idx="31">
                <c:v>64.58</c:v>
              </c:pt>
              <c:pt idx="32">
                <c:v>64.569999999999993</c:v>
              </c:pt>
              <c:pt idx="33">
                <c:v>62.59</c:v>
              </c:pt>
              <c:pt idx="34">
                <c:v>63.02</c:v>
              </c:pt>
              <c:pt idx="35">
                <c:v>62.48</c:v>
              </c:pt>
              <c:pt idx="36">
                <c:v>62.96</c:v>
              </c:pt>
            </c:numLit>
          </c:val>
          <c:smooth val="0"/>
          <c:extLst>
            <c:ext xmlns:c16="http://schemas.microsoft.com/office/drawing/2014/chart" uri="{C3380CC4-5D6E-409C-BE32-E72D297353CC}">
              <c16:uniqueId val="{00000000-C27E-4BB4-88D5-DFEB5306E262}"/>
            </c:ext>
          </c:extLst>
        </c:ser>
        <c:dLbls>
          <c:showLegendKey val="0"/>
          <c:showVal val="0"/>
          <c:showCatName val="0"/>
          <c:showSerName val="0"/>
          <c:showPercent val="0"/>
          <c:showBubbleSize val="0"/>
        </c:dLbls>
        <c:smooth val="0"/>
        <c:axId val="980022144"/>
        <c:axId val="948382512"/>
      </c:lineChart>
      <c:catAx>
        <c:axId val="980022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382512"/>
        <c:crosses val="autoZero"/>
        <c:auto val="1"/>
        <c:lblAlgn val="ctr"/>
        <c:lblOffset val="100"/>
        <c:noMultiLvlLbl val="0"/>
      </c:catAx>
      <c:valAx>
        <c:axId val="94838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022144"/>
        <c:crosses val="autoZero"/>
        <c:crossBetween val="between"/>
      </c:valAx>
      <c:spPr>
        <a:noFill/>
        <a:ln>
          <a:noFill/>
        </a:ln>
        <a:effectLst/>
      </c:spPr>
    </c:plotArea>
    <c:legend>
      <c:legendPos val="r"/>
      <c:layout>
        <c:manualLayout>
          <c:xMode val="edge"/>
          <c:yMode val="edge"/>
          <c:x val="0.79394808689114871"/>
          <c:y val="0.84977703029839713"/>
          <c:w val="0.20605191310885135"/>
          <c:h val="0.142598042963076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Profit</a:t>
            </a:r>
            <a:r>
              <a:rPr lang="en-US" b="1" baseline="0">
                <a:solidFill>
                  <a:schemeClr val="accent1"/>
                </a:solidFill>
              </a:rPr>
              <a:t> Margin by Product</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4"/>
              <c:pt idx="0">
                <c:v>The Birthday Sugar Panda</c:v>
              </c:pt>
              <c:pt idx="1">
                <c:v>The Forever Love Bear</c:v>
              </c:pt>
              <c:pt idx="2">
                <c:v>The Hudson River Mini bear</c:v>
              </c:pt>
              <c:pt idx="3">
                <c:v>The Original Mr. Fuzzy</c:v>
              </c:pt>
            </c:strLit>
          </c:cat>
          <c:val>
            <c:numLit>
              <c:formatCode>General</c:formatCode>
              <c:ptCount val="4"/>
              <c:pt idx="0">
                <c:v>68.489999999999995</c:v>
              </c:pt>
              <c:pt idx="1">
                <c:v>62.51</c:v>
              </c:pt>
              <c:pt idx="2">
                <c:v>68.36</c:v>
              </c:pt>
              <c:pt idx="3">
                <c:v>61.01</c:v>
              </c:pt>
            </c:numLit>
          </c:val>
          <c:extLst>
            <c:ext xmlns:c16="http://schemas.microsoft.com/office/drawing/2014/chart" uri="{C3380CC4-5D6E-409C-BE32-E72D297353CC}">
              <c16:uniqueId val="{00000000-2550-4B69-A503-208E827147D7}"/>
            </c:ext>
          </c:extLst>
        </c:ser>
        <c:dLbls>
          <c:showLegendKey val="0"/>
          <c:showVal val="0"/>
          <c:showCatName val="0"/>
          <c:showSerName val="0"/>
          <c:showPercent val="0"/>
          <c:showBubbleSize val="0"/>
        </c:dLbls>
        <c:gapWidth val="219"/>
        <c:overlap val="-27"/>
        <c:axId val="1782898975"/>
        <c:axId val="1714753647"/>
      </c:barChart>
      <c:catAx>
        <c:axId val="17828989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4753647"/>
        <c:crosses val="autoZero"/>
        <c:auto val="1"/>
        <c:lblAlgn val="ctr"/>
        <c:lblOffset val="100"/>
        <c:noMultiLvlLbl val="0"/>
      </c:catAx>
      <c:valAx>
        <c:axId val="1714753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28989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632460</xdr:colOff>
      <xdr:row>5</xdr:row>
      <xdr:rowOff>175260</xdr:rowOff>
    </xdr:from>
    <xdr:to>
      <xdr:col>10</xdr:col>
      <xdr:colOff>365760</xdr:colOff>
      <xdr:row>23</xdr:row>
      <xdr:rowOff>133350</xdr:rowOff>
    </xdr:to>
    <xdr:graphicFrame macro="">
      <xdr:nvGraphicFramePr>
        <xdr:cNvPr id="2" name="Chart 1">
          <a:extLst>
            <a:ext uri="{FF2B5EF4-FFF2-40B4-BE49-F238E27FC236}">
              <a16:creationId xmlns:a16="http://schemas.microsoft.com/office/drawing/2014/main" id="{201FF8B8-4824-DD83-17D3-32AA99958A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541020</xdr:colOff>
      <xdr:row>8</xdr:row>
      <xdr:rowOff>133350</xdr:rowOff>
    </xdr:from>
    <xdr:to>
      <xdr:col>8</xdr:col>
      <xdr:colOff>266700</xdr:colOff>
      <xdr:row>23</xdr:row>
      <xdr:rowOff>133350</xdr:rowOff>
    </xdr:to>
    <xdr:graphicFrame macro="">
      <xdr:nvGraphicFramePr>
        <xdr:cNvPr id="2" name="Chart 1">
          <a:extLst>
            <a:ext uri="{FF2B5EF4-FFF2-40B4-BE49-F238E27FC236}">
              <a16:creationId xmlns:a16="http://schemas.microsoft.com/office/drawing/2014/main" id="{460D08AD-7627-AE6B-17B5-AFEBDE1F13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541020</xdr:colOff>
      <xdr:row>7</xdr:row>
      <xdr:rowOff>179070</xdr:rowOff>
    </xdr:from>
    <xdr:to>
      <xdr:col>13</xdr:col>
      <xdr:colOff>510540</xdr:colOff>
      <xdr:row>29</xdr:row>
      <xdr:rowOff>45720</xdr:rowOff>
    </xdr:to>
    <xdr:graphicFrame macro="">
      <xdr:nvGraphicFramePr>
        <xdr:cNvPr id="2" name="Chart 1">
          <a:extLst>
            <a:ext uri="{FF2B5EF4-FFF2-40B4-BE49-F238E27FC236}">
              <a16:creationId xmlns:a16="http://schemas.microsoft.com/office/drawing/2014/main" id="{E1333CCD-B952-F6E6-C5A9-7C7AF8F6EE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327943</xdr:colOff>
      <xdr:row>20</xdr:row>
      <xdr:rowOff>82451</xdr:rowOff>
    </xdr:from>
    <xdr:to>
      <xdr:col>9</xdr:col>
      <xdr:colOff>8304</xdr:colOff>
      <xdr:row>38</xdr:row>
      <xdr:rowOff>39138</xdr:rowOff>
    </xdr:to>
    <xdr:graphicFrame macro="">
      <xdr:nvGraphicFramePr>
        <xdr:cNvPr id="2" name="Chart 1">
          <a:extLst>
            <a:ext uri="{FF2B5EF4-FFF2-40B4-BE49-F238E27FC236}">
              <a16:creationId xmlns:a16="http://schemas.microsoft.com/office/drawing/2014/main" id="{5E3739C7-356F-4BC0-BE55-FD4CD5DB2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279275</xdr:colOff>
      <xdr:row>2</xdr:row>
      <xdr:rowOff>90190</xdr:rowOff>
    </xdr:from>
    <xdr:to>
      <xdr:col>12</xdr:col>
      <xdr:colOff>431675</xdr:colOff>
      <xdr:row>20</xdr:row>
      <xdr:rowOff>47099</xdr:rowOff>
    </xdr:to>
    <xdr:graphicFrame macro="">
      <xdr:nvGraphicFramePr>
        <xdr:cNvPr id="4" name="Chart 3">
          <a:extLst>
            <a:ext uri="{FF2B5EF4-FFF2-40B4-BE49-F238E27FC236}">
              <a16:creationId xmlns:a16="http://schemas.microsoft.com/office/drawing/2014/main" id="{698C0E81-7563-433B-9E2F-B657A95C4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572585</xdr:colOff>
      <xdr:row>20</xdr:row>
      <xdr:rowOff>102504</xdr:rowOff>
    </xdr:from>
    <xdr:to>
      <xdr:col>16</xdr:col>
      <xdr:colOff>62447</xdr:colOff>
      <xdr:row>38</xdr:row>
      <xdr:rowOff>86086</xdr:rowOff>
    </xdr:to>
    <xdr:graphicFrame macro="">
      <xdr:nvGraphicFramePr>
        <xdr:cNvPr id="5" name="Chart 4">
          <a:extLst>
            <a:ext uri="{FF2B5EF4-FFF2-40B4-BE49-F238E27FC236}">
              <a16:creationId xmlns:a16="http://schemas.microsoft.com/office/drawing/2014/main" id="{19CBD38E-ACEB-4560-93C9-F5B5F835C4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553878</xdr:colOff>
      <xdr:row>38</xdr:row>
      <xdr:rowOff>12032</xdr:rowOff>
    </xdr:from>
    <xdr:to>
      <xdr:col>16</xdr:col>
      <xdr:colOff>89460</xdr:colOff>
      <xdr:row>53</xdr:row>
      <xdr:rowOff>150371</xdr:rowOff>
    </xdr:to>
    <xdr:graphicFrame macro="">
      <xdr:nvGraphicFramePr>
        <xdr:cNvPr id="6" name="Chart 5">
          <a:extLst>
            <a:ext uri="{FF2B5EF4-FFF2-40B4-BE49-F238E27FC236}">
              <a16:creationId xmlns:a16="http://schemas.microsoft.com/office/drawing/2014/main" id="{E61DF62A-8A73-4F0D-AFB9-11609D5785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85875</xdr:colOff>
      <xdr:row>38</xdr:row>
      <xdr:rowOff>38478</xdr:rowOff>
    </xdr:from>
    <xdr:to>
      <xdr:col>19</xdr:col>
      <xdr:colOff>85874</xdr:colOff>
      <xdr:row>52</xdr:row>
      <xdr:rowOff>60612</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99498477-FD84-4403-A671-0545C212B2B1}"/>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7628808" y="7810878"/>
              <a:ext cx="1828799" cy="26298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276184</xdr:colOff>
      <xdr:row>38</xdr:row>
      <xdr:rowOff>12812</xdr:rowOff>
    </xdr:from>
    <xdr:to>
      <xdr:col>8</xdr:col>
      <xdr:colOff>565744</xdr:colOff>
      <xdr:row>53</xdr:row>
      <xdr:rowOff>158771</xdr:rowOff>
    </xdr:to>
    <xdr:graphicFrame macro="">
      <xdr:nvGraphicFramePr>
        <xdr:cNvPr id="8" name="Chart 7">
          <a:extLst>
            <a:ext uri="{FF2B5EF4-FFF2-40B4-BE49-F238E27FC236}">
              <a16:creationId xmlns:a16="http://schemas.microsoft.com/office/drawing/2014/main" id="{BD1389E3-8077-4D05-8489-38508AA2F2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12</xdr:col>
      <xdr:colOff>461258</xdr:colOff>
      <xdr:row>3</xdr:row>
      <xdr:rowOff>67023</xdr:rowOff>
    </xdr:from>
    <xdr:to>
      <xdr:col>15</xdr:col>
      <xdr:colOff>224590</xdr:colOff>
      <xdr:row>17</xdr:row>
      <xdr:rowOff>13682</xdr:rowOff>
    </xdr:to>
    <mc:AlternateContent xmlns:mc="http://schemas.openxmlformats.org/markup-compatibility/2006" xmlns:a14="http://schemas.microsoft.com/office/drawing/2010/main">
      <mc:Choice Requires="a14">
        <xdr:graphicFrame macro="">
          <xdr:nvGraphicFramePr>
            <xdr:cNvPr id="9" name="year 2">
              <a:extLst>
                <a:ext uri="{FF2B5EF4-FFF2-40B4-BE49-F238E27FC236}">
                  <a16:creationId xmlns:a16="http://schemas.microsoft.com/office/drawing/2014/main" id="{169FE1C1-5DDD-0503-62E0-E1F4FEF748BD}"/>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15565791" y="1320090"/>
              <a:ext cx="1592132" cy="2554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466189</xdr:colOff>
      <xdr:row>11</xdr:row>
      <xdr:rowOff>36330</xdr:rowOff>
    </xdr:from>
    <xdr:to>
      <xdr:col>15</xdr:col>
      <xdr:colOff>233555</xdr:colOff>
      <xdr:row>20</xdr:row>
      <xdr:rowOff>67146</xdr:rowOff>
    </xdr:to>
    <mc:AlternateContent xmlns:mc="http://schemas.openxmlformats.org/markup-compatibility/2006" xmlns:a14="http://schemas.microsoft.com/office/drawing/2010/main">
      <mc:Choice Requires="a14">
        <xdr:graphicFrame macro="">
          <xdr:nvGraphicFramePr>
            <xdr:cNvPr id="10" name="month">
              <a:extLst>
                <a:ext uri="{FF2B5EF4-FFF2-40B4-BE49-F238E27FC236}">
                  <a16:creationId xmlns:a16="http://schemas.microsoft.com/office/drawing/2014/main" id="{1ECF915E-FE14-A776-B0C4-CA50705C7D1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570722" y="2779530"/>
              <a:ext cx="1596166" cy="17072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lten Wright" refreshedDate="46237.60268773148" createdVersion="8" refreshedVersion="8" minRefreshableVersion="3" recordCount="4" xr:uid="{9BDA4BD1-DE7F-4392-BCED-B9F57ED5ACA5}">
  <cacheSource type="worksheet">
    <worksheetSource ref="A1:E5" sheet="Toy_store_e_product_analysis"/>
  </cacheSource>
  <cacheFields count="5">
    <cacheField name="product_name" numFmtId="0">
      <sharedItems count="4">
        <s v="The Birthday Sugar Panda"/>
        <s v="The Hudson River Mini bear"/>
        <s v="The Forever Love Bear"/>
        <s v="The Original Mr. Fuzzy"/>
      </sharedItems>
    </cacheField>
    <cacheField name="avg_price" numFmtId="0">
      <sharedItems containsSemiMixedTypes="0" containsString="0" containsNumber="1" minValue="29.99" maxValue="59.99"/>
    </cacheField>
    <cacheField name="revenue" numFmtId="0">
      <sharedItems containsSemiMixedTypes="0" containsString="0" containsNumber="1" minValue="150489.82" maxValue="1211057.74"/>
    </cacheField>
    <cacheField name="cost_of_goods" numFmtId="0">
      <sharedItems containsSemiMixedTypes="0" containsString="0" containsNumber="1" minValue="47620.82" maxValue="472164.74"/>
    </cacheField>
    <cacheField name="profit" numFmtId="0">
      <sharedItems containsSemiMixedTypes="0" containsString="0" containsNumber="1" minValue="102869" maxValue="738893"/>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lten Wright" refreshedDate="46237.843289814817" createdVersion="8" refreshedVersion="8" minRefreshableVersion="3" recordCount="37" xr:uid="{C80932FD-AE67-451E-AA8E-86AC256F9421}">
  <cacheSource type="worksheet">
    <worksheetSource ref="A1:C38" sheet="toy_store_e_monthly_revenue"/>
  </cacheSource>
  <cacheFields count="3">
    <cacheField name="year" numFmtId="0">
      <sharedItems containsSemiMixedTypes="0" containsString="0" containsNumber="1" containsInteger="1" minValue="2012" maxValue="2015" count="4">
        <n v="2014"/>
        <n v="2015"/>
        <n v="2013"/>
        <n v="2012"/>
      </sharedItems>
    </cacheField>
    <cacheField name="month" numFmtId="0">
      <sharedItems containsSemiMixedTypes="0" containsString="0" containsNumber="1" containsInteger="1" minValue="1" maxValue="12" count="12">
        <n v="12"/>
        <n v="1"/>
        <n v="2"/>
        <n v="11"/>
        <n v="10"/>
        <n v="9"/>
        <n v="5"/>
        <n v="8"/>
        <n v="7"/>
        <n v="6"/>
        <n v="3"/>
        <n v="4"/>
      </sharedItems>
    </cacheField>
    <cacheField name="total_revenue" numFmtId="0">
      <sharedItems containsSemiMixedTypes="0" containsString="0" containsNumber="1" minValue="2999.4" maxValue="144823.01999999999" count="37">
        <n v="144823.01999999999"/>
        <n v="132211.54"/>
        <n v="129212.94"/>
        <n v="128162.98"/>
        <n v="103905.98"/>
        <n v="92232.49"/>
        <n v="88935.27"/>
        <n v="84716.08"/>
        <n v="83288.55"/>
        <n v="80051.25"/>
        <n v="78951.070000000007"/>
        <n v="78725.429999999993"/>
        <n v="68189.73"/>
        <n v="66012.52"/>
        <n v="58262.6"/>
        <n v="56568.89"/>
        <n v="46631.02"/>
        <n v="38242.620000000003"/>
        <n v="32723.65"/>
        <n v="31373.919999999998"/>
        <n v="31143.96"/>
        <n v="30893.82"/>
        <n v="30544.07"/>
        <n v="29364.29"/>
        <n v="28584.47"/>
        <n v="26515.02"/>
        <n v="25294.94"/>
        <n v="19966.099999999999"/>
        <n v="19896.150000000001"/>
        <n v="18546.29"/>
        <n v="14347.13"/>
        <n v="11397.72"/>
        <n v="8448.31"/>
        <n v="6998.6"/>
        <n v="5398.92"/>
        <n v="4949.01"/>
        <n v="2999.4"/>
      </sharedItems>
    </cacheField>
  </cacheFields>
  <extLst>
    <ext xmlns:x14="http://schemas.microsoft.com/office/spreadsheetml/2009/9/main" uri="{725AE2AE-9491-48be-B2B4-4EB974FC3084}">
      <x14:pivotCacheDefinition pivotCacheId="126601344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lten Wright" refreshedDate="46237.8496787037" createdVersion="8" refreshedVersion="8" minRefreshableVersion="3" recordCount="37" xr:uid="{6E8E1107-B09C-4FA8-80AA-D5D1A95059BC}">
  <cacheSource type="worksheet">
    <worksheetSource ref="A1:D38" sheet="Toy_store_e_revenue_per_order"/>
  </cacheSource>
  <cacheFields count="4">
    <cacheField name="year" numFmtId="0">
      <sharedItems containsSemiMixedTypes="0" containsString="0" containsNumber="1" containsInteger="1" minValue="2012" maxValue="2015" count="4">
        <n v="2012"/>
        <n v="2013"/>
        <n v="2014"/>
        <n v="2015"/>
      </sharedItems>
    </cacheField>
    <cacheField name="month" numFmtId="0">
      <sharedItems containsSemiMixedTypes="0" containsString="0" containsNumber="1" containsInteger="1" minValue="1" maxValue="12" count="12">
        <n v="3"/>
        <n v="4"/>
        <n v="5"/>
        <n v="6"/>
        <n v="7"/>
        <n v="8"/>
        <n v="9"/>
        <n v="10"/>
        <n v="11"/>
        <n v="12"/>
        <n v="1"/>
        <n v="2"/>
      </sharedItems>
    </cacheField>
    <cacheField name="number_of_orders" numFmtId="0">
      <sharedItems containsSemiMixedTypes="0" containsString="0" containsNumber="1" containsInteger="1" minValue="60" maxValue="2314"/>
    </cacheField>
    <cacheField name="avg_order_price" numFmtId="0">
      <sharedItems containsSemiMixedTypes="0" containsString="0" containsNumber="1" minValue="49.99" maxValue="65.010000000000005"/>
    </cacheField>
  </cacheFields>
  <extLst>
    <ext xmlns:x14="http://schemas.microsoft.com/office/spreadsheetml/2009/9/main" uri="{725AE2AE-9491-48be-B2B4-4EB974FC3084}">
      <x14:pivotCacheDefinition pivotCacheId="1913393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n v="45.99"/>
    <n v="229260.15"/>
    <n v="72232.649999999994"/>
    <n v="157027.5"/>
  </r>
  <r>
    <x v="1"/>
    <n v="29.99"/>
    <n v="150489.82"/>
    <n v="47620.82"/>
    <n v="102869"/>
  </r>
  <r>
    <x v="2"/>
    <n v="59.99"/>
    <n v="347702.04"/>
    <n v="130352.04"/>
    <n v="217350"/>
  </r>
  <r>
    <x v="3"/>
    <n v="49.99"/>
    <n v="1211057.74"/>
    <n v="472164.74"/>
    <n v="7388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x v="0"/>
    <x v="0"/>
  </r>
  <r>
    <x v="1"/>
    <x v="1"/>
    <x v="1"/>
  </r>
  <r>
    <x v="1"/>
    <x v="2"/>
    <x v="2"/>
  </r>
  <r>
    <x v="0"/>
    <x v="3"/>
    <x v="3"/>
  </r>
  <r>
    <x v="0"/>
    <x v="4"/>
    <x v="4"/>
  </r>
  <r>
    <x v="0"/>
    <x v="5"/>
    <x v="5"/>
  </r>
  <r>
    <x v="0"/>
    <x v="6"/>
    <x v="6"/>
  </r>
  <r>
    <x v="0"/>
    <x v="7"/>
    <x v="7"/>
  </r>
  <r>
    <x v="0"/>
    <x v="8"/>
    <x v="8"/>
  </r>
  <r>
    <x v="0"/>
    <x v="9"/>
    <x v="9"/>
  </r>
  <r>
    <x v="1"/>
    <x v="10"/>
    <x v="10"/>
  </r>
  <r>
    <x v="0"/>
    <x v="11"/>
    <x v="11"/>
  </r>
  <r>
    <x v="0"/>
    <x v="10"/>
    <x v="12"/>
  </r>
  <r>
    <x v="0"/>
    <x v="2"/>
    <x v="13"/>
  </r>
  <r>
    <x v="2"/>
    <x v="0"/>
    <x v="14"/>
  </r>
  <r>
    <x v="0"/>
    <x v="1"/>
    <x v="15"/>
  </r>
  <r>
    <x v="2"/>
    <x v="3"/>
    <x v="16"/>
  </r>
  <r>
    <x v="2"/>
    <x v="4"/>
    <x v="17"/>
  </r>
  <r>
    <x v="2"/>
    <x v="5"/>
    <x v="18"/>
  </r>
  <r>
    <x v="2"/>
    <x v="7"/>
    <x v="19"/>
  </r>
  <r>
    <x v="2"/>
    <x v="8"/>
    <x v="20"/>
  </r>
  <r>
    <x v="3"/>
    <x v="3"/>
    <x v="21"/>
  </r>
  <r>
    <x v="2"/>
    <x v="9"/>
    <x v="22"/>
  </r>
  <r>
    <x v="2"/>
    <x v="6"/>
    <x v="23"/>
  </r>
  <r>
    <x v="2"/>
    <x v="11"/>
    <x v="24"/>
  </r>
  <r>
    <x v="2"/>
    <x v="2"/>
    <x v="25"/>
  </r>
  <r>
    <x v="3"/>
    <x v="0"/>
    <x v="26"/>
  </r>
  <r>
    <x v="2"/>
    <x v="1"/>
    <x v="27"/>
  </r>
  <r>
    <x v="2"/>
    <x v="10"/>
    <x v="28"/>
  </r>
  <r>
    <x v="3"/>
    <x v="4"/>
    <x v="29"/>
  </r>
  <r>
    <x v="3"/>
    <x v="5"/>
    <x v="30"/>
  </r>
  <r>
    <x v="3"/>
    <x v="7"/>
    <x v="31"/>
  </r>
  <r>
    <x v="3"/>
    <x v="8"/>
    <x v="32"/>
  </r>
  <r>
    <x v="3"/>
    <x v="9"/>
    <x v="33"/>
  </r>
  <r>
    <x v="3"/>
    <x v="6"/>
    <x v="34"/>
  </r>
  <r>
    <x v="3"/>
    <x v="11"/>
    <x v="35"/>
  </r>
  <r>
    <x v="3"/>
    <x v="10"/>
    <x v="36"/>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x v="0"/>
    <n v="60"/>
    <n v="49.99"/>
  </r>
  <r>
    <x v="0"/>
    <x v="1"/>
    <n v="99"/>
    <n v="49.99"/>
  </r>
  <r>
    <x v="0"/>
    <x v="2"/>
    <n v="108"/>
    <n v="49.99"/>
  </r>
  <r>
    <x v="0"/>
    <x v="3"/>
    <n v="140"/>
    <n v="49.99"/>
  </r>
  <r>
    <x v="0"/>
    <x v="4"/>
    <n v="169"/>
    <n v="49.99"/>
  </r>
  <r>
    <x v="0"/>
    <x v="5"/>
    <n v="228"/>
    <n v="49.99"/>
  </r>
  <r>
    <x v="0"/>
    <x v="6"/>
    <n v="287"/>
    <n v="49.99"/>
  </r>
  <r>
    <x v="0"/>
    <x v="7"/>
    <n v="371"/>
    <n v="49.99"/>
  </r>
  <r>
    <x v="0"/>
    <x v="8"/>
    <n v="618"/>
    <n v="49.99"/>
  </r>
  <r>
    <x v="0"/>
    <x v="9"/>
    <n v="506"/>
    <n v="49.99"/>
  </r>
  <r>
    <x v="1"/>
    <x v="10"/>
    <n v="390"/>
    <n v="51.2"/>
  </r>
  <r>
    <x v="1"/>
    <x v="11"/>
    <n v="498"/>
    <n v="53.24"/>
  </r>
  <r>
    <x v="1"/>
    <x v="0"/>
    <n v="385"/>
    <n v="51.68"/>
  </r>
  <r>
    <x v="1"/>
    <x v="1"/>
    <n v="553"/>
    <n v="51.69"/>
  </r>
  <r>
    <x v="1"/>
    <x v="2"/>
    <n v="571"/>
    <n v="51.43"/>
  </r>
  <r>
    <x v="1"/>
    <x v="3"/>
    <n v="593"/>
    <n v="51.51"/>
  </r>
  <r>
    <x v="1"/>
    <x v="4"/>
    <n v="604"/>
    <n v="51.56"/>
  </r>
  <r>
    <x v="1"/>
    <x v="5"/>
    <n v="608"/>
    <n v="51.6"/>
  </r>
  <r>
    <x v="1"/>
    <x v="6"/>
    <n v="629"/>
    <n v="52.02"/>
  </r>
  <r>
    <x v="1"/>
    <x v="7"/>
    <n v="708"/>
    <n v="54.02"/>
  </r>
  <r>
    <x v="1"/>
    <x v="8"/>
    <n v="861"/>
    <n v="54.16"/>
  </r>
  <r>
    <x v="1"/>
    <x v="9"/>
    <n v="1047"/>
    <n v="55.65"/>
  </r>
  <r>
    <x v="2"/>
    <x v="10"/>
    <n v="982"/>
    <n v="57.61"/>
  </r>
  <r>
    <x v="2"/>
    <x v="11"/>
    <n v="1021"/>
    <n v="64.650000000000006"/>
  </r>
  <r>
    <x v="2"/>
    <x v="0"/>
    <n v="1066"/>
    <n v="63.97"/>
  </r>
  <r>
    <x v="2"/>
    <x v="1"/>
    <n v="1241"/>
    <n v="63.44"/>
  </r>
  <r>
    <x v="2"/>
    <x v="2"/>
    <n v="1368"/>
    <n v="65.010000000000005"/>
  </r>
  <r>
    <x v="2"/>
    <x v="3"/>
    <n v="1239"/>
    <n v="64.61"/>
  </r>
  <r>
    <x v="2"/>
    <x v="4"/>
    <n v="1286"/>
    <n v="64.77"/>
  </r>
  <r>
    <x v="2"/>
    <x v="5"/>
    <n v="1325"/>
    <n v="63.94"/>
  </r>
  <r>
    <x v="2"/>
    <x v="6"/>
    <n v="1424"/>
    <n v="64.77"/>
  </r>
  <r>
    <x v="2"/>
    <x v="7"/>
    <n v="1609"/>
    <n v="64.58"/>
  </r>
  <r>
    <x v="2"/>
    <x v="8"/>
    <n v="1985"/>
    <n v="64.569999999999993"/>
  </r>
  <r>
    <x v="2"/>
    <x v="9"/>
    <n v="2314"/>
    <n v="62.59"/>
  </r>
  <r>
    <x v="3"/>
    <x v="10"/>
    <n v="2098"/>
    <n v="63.02"/>
  </r>
  <r>
    <x v="3"/>
    <x v="11"/>
    <n v="2068"/>
    <n v="62.48"/>
  </r>
  <r>
    <x v="3"/>
    <x v="0"/>
    <n v="1254"/>
    <n v="62.9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C438063-CECB-4B63-A052-8F6E8F1E82F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8" firstHeaderRow="1" firstDataRow="1" firstDataCol="1"/>
  <pivotFields count="5">
    <pivotField axis="axisRow" showAll="0">
      <items count="5">
        <item x="0"/>
        <item x="2"/>
        <item x="1"/>
        <item x="3"/>
        <item t="default"/>
      </items>
    </pivotField>
    <pivotField showAll="0"/>
    <pivotField dataField="1" showAll="0"/>
    <pivotField showAll="0"/>
    <pivotField showAll="0"/>
  </pivotFields>
  <rowFields count="1">
    <field x="0"/>
  </rowFields>
  <rowItems count="5">
    <i>
      <x/>
    </i>
    <i>
      <x v="1"/>
    </i>
    <i>
      <x v="2"/>
    </i>
    <i>
      <x v="3"/>
    </i>
    <i t="grand">
      <x/>
    </i>
  </rowItems>
  <colItems count="1">
    <i/>
  </colItems>
  <dataFields count="1">
    <dataField name="Sum of revenue" fld="2" baseField="0" baseItem="0"/>
  </dataFields>
  <chartFormats count="10">
    <chartFormat chart="1" format="0" series="1">
      <pivotArea type="data" outline="0" fieldPosition="0">
        <references count="1">
          <reference field="4294967294"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 chart="3" format="12">
      <pivotArea type="data" outline="0" fieldPosition="0">
        <references count="2">
          <reference field="4294967294" count="1" selected="0">
            <x v="0"/>
          </reference>
          <reference field="0" count="1" selected="0">
            <x v="3"/>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1" format="4">
      <pivotArea type="data" outline="0" fieldPosition="0">
        <references count="2">
          <reference field="4294967294" count="1" selected="0">
            <x v="0"/>
          </reference>
          <reference field="0" count="1" selected="0">
            <x v="1"/>
          </reference>
        </references>
      </pivotArea>
    </chartFormat>
    <chartFormat chart="1" format="5">
      <pivotArea type="data" outline="0" fieldPosition="0">
        <references count="2">
          <reference field="4294967294" count="1" selected="0">
            <x v="0"/>
          </reference>
          <reference field="0" count="1" selected="0">
            <x v="2"/>
          </reference>
        </references>
      </pivotArea>
    </chartFormat>
    <chartFormat chart="1" format="6">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85FC72-7EA9-4409-A5F0-5C88185E5C70}"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8" firstHeaderRow="0" firstDataRow="1" firstDataCol="1"/>
  <pivotFields count="5">
    <pivotField axis="axisRow" showAll="0">
      <items count="5">
        <item x="0"/>
        <item x="2"/>
        <item x="1"/>
        <item x="3"/>
        <item t="default"/>
      </items>
    </pivotField>
    <pivotField showAll="0"/>
    <pivotField dataField="1" showAll="0"/>
    <pivotField dataField="1" showAll="0"/>
    <pivotField dataField="1" showAll="0"/>
  </pivotFields>
  <rowFields count="1">
    <field x="0"/>
  </rowFields>
  <rowItems count="5">
    <i>
      <x/>
    </i>
    <i>
      <x v="1"/>
    </i>
    <i>
      <x v="2"/>
    </i>
    <i>
      <x v="3"/>
    </i>
    <i t="grand">
      <x/>
    </i>
  </rowItems>
  <colFields count="1">
    <field x="-2"/>
  </colFields>
  <colItems count="3">
    <i>
      <x/>
    </i>
    <i i="1">
      <x v="1"/>
    </i>
    <i i="2">
      <x v="2"/>
    </i>
  </colItems>
  <dataFields count="3">
    <dataField name="Sum of revenue" fld="2" baseField="0" baseItem="0"/>
    <dataField name="Sum of cost_of_goods" fld="3" baseField="0" baseItem="0"/>
    <dataField name="Sum of profit" fld="4" baseField="0" baseItem="0"/>
  </dataFields>
  <chartFormats count="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 chart="2" format="7" series="1">
      <pivotArea type="data" outline="0" fieldPosition="0">
        <references count="1">
          <reference field="4294967294" count="1" selected="0">
            <x v="0"/>
          </reference>
        </references>
      </pivotArea>
    </chartFormat>
    <chartFormat chart="2" format="8" series="1">
      <pivotArea type="data" outline="0" fieldPosition="0">
        <references count="1">
          <reference field="4294967294" count="1" selected="0">
            <x v="1"/>
          </reference>
        </references>
      </pivotArea>
    </chartFormat>
    <chartFormat chart="2"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15838C3-1E61-4C76-8ABF-9B68F4F2030C}"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B45" firstHeaderRow="1" firstDataRow="1" firstDataCol="1"/>
  <pivotFields count="3">
    <pivotField axis="axisRow" showAll="0">
      <items count="5">
        <item x="3"/>
        <item x="2"/>
        <item x="0"/>
        <item x="1"/>
        <item t="default"/>
      </items>
    </pivotField>
    <pivotField axis="axisRow" showAll="0">
      <items count="13">
        <item x="1"/>
        <item x="2"/>
        <item x="10"/>
        <item x="11"/>
        <item x="6"/>
        <item x="9"/>
        <item x="8"/>
        <item x="7"/>
        <item x="5"/>
        <item x="4"/>
        <item x="3"/>
        <item x="0"/>
        <item t="default"/>
      </items>
    </pivotField>
    <pivotField dataField="1" showAll="0">
      <items count="38">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t="default"/>
      </items>
    </pivotField>
  </pivotFields>
  <rowFields count="2">
    <field x="0"/>
    <field x="1"/>
  </rowFields>
  <rowItems count="42">
    <i>
      <x/>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t="grand">
      <x/>
    </i>
  </rowItems>
  <colItems count="1">
    <i/>
  </colItems>
  <dataFields count="1">
    <dataField name="Sum of total_revenue" fld="2" baseField="0" baseItem="0"/>
  </dataFields>
  <formats count="8">
    <format dxfId="7">
      <pivotArea collapsedLevelsAreSubtotals="1" fieldPosition="0">
        <references count="1">
          <reference field="0" count="1">
            <x v="0"/>
          </reference>
        </references>
      </pivotArea>
    </format>
    <format dxfId="6">
      <pivotArea collapsedLevelsAreSubtotals="1" fieldPosition="0">
        <references count="2">
          <reference field="0" count="1" selected="0">
            <x v="0"/>
          </reference>
          <reference field="1" count="10">
            <x v="2"/>
            <x v="3"/>
            <x v="4"/>
            <x v="5"/>
            <x v="6"/>
            <x v="7"/>
            <x v="8"/>
            <x v="9"/>
            <x v="10"/>
            <x v="11"/>
          </reference>
        </references>
      </pivotArea>
    </format>
    <format dxfId="5">
      <pivotArea collapsedLevelsAreSubtotals="1" fieldPosition="0">
        <references count="1">
          <reference field="0" count="1">
            <x v="1"/>
          </reference>
        </references>
      </pivotArea>
    </format>
    <format dxfId="4">
      <pivotArea collapsedLevelsAreSubtotals="1" fieldPosition="0">
        <references count="2">
          <reference field="0" count="1" selected="0">
            <x v="1"/>
          </reference>
          <reference field="1" count="0"/>
        </references>
      </pivotArea>
    </format>
    <format dxfId="3">
      <pivotArea collapsedLevelsAreSubtotals="1" fieldPosition="0">
        <references count="1">
          <reference field="0" count="1">
            <x v="2"/>
          </reference>
        </references>
      </pivotArea>
    </format>
    <format dxfId="2">
      <pivotArea collapsedLevelsAreSubtotals="1" fieldPosition="0">
        <references count="2">
          <reference field="0" count="1" selected="0">
            <x v="2"/>
          </reference>
          <reference field="1" count="0"/>
        </references>
      </pivotArea>
    </format>
    <format dxfId="1">
      <pivotArea collapsedLevelsAreSubtotals="1" fieldPosition="0">
        <references count="1">
          <reference field="0" count="1">
            <x v="3"/>
          </reference>
        </references>
      </pivotArea>
    </format>
    <format dxfId="0">
      <pivotArea collapsedLevelsAreSubtotals="1" fieldPosition="0">
        <references count="2">
          <reference field="0" count="1" selected="0">
            <x v="3"/>
          </reference>
          <reference field="1" count="3">
            <x v="0"/>
            <x v="1"/>
            <x v="2"/>
          </reference>
        </references>
      </pivotArea>
    </format>
  </formats>
  <conditionalFormats count="4">
    <conditionalFormat priority="4">
      <pivotAreas count="1">
        <pivotArea type="data" collapsedLevelsAreSubtotals="1" fieldPosition="0">
          <references count="3">
            <reference field="4294967294" count="1" selected="0">
              <x v="0"/>
            </reference>
            <reference field="0" count="1" selected="0">
              <x v="0"/>
            </reference>
            <reference field="1" count="10">
              <x v="2"/>
              <x v="3"/>
              <x v="4"/>
              <x v="5"/>
              <x v="6"/>
              <x v="7"/>
              <x v="8"/>
              <x v="9"/>
              <x v="10"/>
              <x v="11"/>
            </reference>
          </references>
        </pivotArea>
      </pivotAreas>
    </conditionalFormat>
    <conditionalFormat priority="3">
      <pivotAreas count="1">
        <pivotArea type="data" collapsedLevelsAreSubtotals="1" fieldPosition="0">
          <references count="3">
            <reference field="4294967294" count="1" selected="0">
              <x v="0"/>
            </reference>
            <reference field="0" count="1" selected="0">
              <x v="1"/>
            </reference>
            <reference field="1" count="12">
              <x v="0"/>
              <x v="1"/>
              <x v="2"/>
              <x v="3"/>
              <x v="4"/>
              <x v="5"/>
              <x v="6"/>
              <x v="7"/>
              <x v="8"/>
              <x v="9"/>
              <x v="10"/>
              <x v="11"/>
            </reference>
          </references>
        </pivotArea>
      </pivotAreas>
    </conditionalFormat>
    <conditionalFormat priority="2">
      <pivotAreas count="1">
        <pivotArea type="data" collapsedLevelsAreSubtotals="1" fieldPosition="0">
          <references count="3">
            <reference field="4294967294" count="1" selected="0">
              <x v="0"/>
            </reference>
            <reference field="0" count="1" selected="0">
              <x v="2"/>
            </reference>
            <reference field="1" count="12">
              <x v="0"/>
              <x v="1"/>
              <x v="2"/>
              <x v="3"/>
              <x v="4"/>
              <x v="5"/>
              <x v="6"/>
              <x v="7"/>
              <x v="8"/>
              <x v="9"/>
              <x v="10"/>
              <x v="11"/>
            </reference>
          </references>
        </pivotArea>
      </pivotAreas>
    </conditionalFormat>
    <conditionalFormat priority="1">
      <pivotAreas count="1">
        <pivotArea type="data" collapsedLevelsAreSubtotals="1" fieldPosition="0">
          <references count="3">
            <reference field="4294967294" count="1" selected="0">
              <x v="0"/>
            </reference>
            <reference field="0" count="1" selected="0">
              <x v="3"/>
            </reference>
            <reference field="1" count="3">
              <x v="0"/>
              <x v="1"/>
              <x v="2"/>
            </reference>
          </references>
        </pivotArea>
      </pivotAreas>
    </conditionalFormat>
  </conditionalFormats>
  <chartFormats count="2">
    <chartFormat chart="3" format="38" series="1">
      <pivotArea type="data" outline="0" fieldPosition="0">
        <references count="1">
          <reference field="4294967294" count="1" selected="0">
            <x v="0"/>
          </reference>
        </references>
      </pivotArea>
    </chartFormat>
    <chartFormat chart="6" format="40" series="1">
      <pivotArea type="data" outline="0" fieldPosition="0">
        <references count="1">
          <reference field="4294967294" count="1" selected="0">
            <x v="0"/>
          </reference>
        </references>
      </pivotArea>
    </chartFormat>
  </chartFormats>
  <pivotTableStyleInfo name="PivotStyleMedium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A9A4A61-C301-4B79-8566-61CF04CE0BE8}" sourceName="year">
  <data>
    <tabular pivotCacheId="1913393056">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552E4820-DF88-4E34-8701-048ABEABCC94}" sourceName="year">
  <pivotTables>
    <pivotTable tabId="9" name="PivotTable4"/>
  </pivotTables>
  <data>
    <tabular pivotCacheId="1266013448">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2F10D10-0198-4A8B-82C7-77999364650A}" sourceName="month">
  <pivotTables>
    <pivotTable tabId="9" name="PivotTable4"/>
  </pivotTables>
  <data>
    <tabular pivotCacheId="1266013448">
      <items count="12">
        <i x="1" s="1"/>
        <i x="2" s="1"/>
        <i x="10" s="1"/>
        <i x="11" s="1"/>
        <i x="6" s="1"/>
        <i x="9" s="1"/>
        <i x="8" s="1"/>
        <i x="7" s="1"/>
        <i x="5" s="1"/>
        <i x="4" s="1"/>
        <i x="3"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7EE44E8-61B4-48BF-9733-00A867CA90D2}" cache="Slicer_year" caption="year" rowHeight="247650"/>
  <slicer name="year 2" xr10:uid="{109378A9-F683-45C7-B8BC-FEF17F832111}" cache="Slicer_year1" caption="year" rowHeight="247650"/>
  <slicer name="month" xr10:uid="{CBBC491B-D0F2-45BA-9DBC-746C8BB3001D}" cache="Slicer_month" caption="month"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9482A3-83AD-4B2D-B7A6-F088CA8DD714}">
  <dimension ref="A3:B8"/>
  <sheetViews>
    <sheetView workbookViewId="0">
      <selection activeCell="B3" sqref="B3"/>
    </sheetView>
  </sheetViews>
  <sheetFormatPr defaultRowHeight="14.4" x14ac:dyDescent="0.3"/>
  <cols>
    <col min="1" max="1" width="22.77734375" bestFit="1" customWidth="1"/>
    <col min="2" max="2" width="13.6640625" bestFit="1" customWidth="1"/>
    <col min="3" max="5" width="11.5546875" bestFit="1" customWidth="1"/>
  </cols>
  <sheetData>
    <row r="3" spans="1:2" x14ac:dyDescent="0.3">
      <c r="A3" s="1" t="s">
        <v>4</v>
      </c>
      <c r="B3" t="s">
        <v>6</v>
      </c>
    </row>
    <row r="4" spans="1:2" x14ac:dyDescent="0.3">
      <c r="A4" s="2" t="s">
        <v>0</v>
      </c>
      <c r="B4">
        <v>229260.15</v>
      </c>
    </row>
    <row r="5" spans="1:2" x14ac:dyDescent="0.3">
      <c r="A5" s="2" t="s">
        <v>2</v>
      </c>
      <c r="B5">
        <v>347702.04</v>
      </c>
    </row>
    <row r="6" spans="1:2" x14ac:dyDescent="0.3">
      <c r="A6" s="2" t="s">
        <v>1</v>
      </c>
      <c r="B6">
        <v>150489.82</v>
      </c>
    </row>
    <row r="7" spans="1:2" x14ac:dyDescent="0.3">
      <c r="A7" s="2" t="s">
        <v>3</v>
      </c>
      <c r="B7">
        <v>1211057.74</v>
      </c>
    </row>
    <row r="8" spans="1:2" x14ac:dyDescent="0.3">
      <c r="A8" s="2" t="s">
        <v>5</v>
      </c>
      <c r="B8">
        <v>1938509.75</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84571-83EE-4326-910A-2FDB4E4465A1}">
  <dimension ref="A3:E8"/>
  <sheetViews>
    <sheetView workbookViewId="0">
      <selection activeCell="D8" sqref="D8"/>
    </sheetView>
  </sheetViews>
  <sheetFormatPr defaultRowHeight="14.4" x14ac:dyDescent="0.3"/>
  <cols>
    <col min="1" max="1" width="22.77734375" bestFit="1" customWidth="1"/>
    <col min="2" max="2" width="13.6640625" bestFit="1" customWidth="1"/>
    <col min="3" max="3" width="18.77734375" bestFit="1" customWidth="1"/>
    <col min="4" max="5" width="11.5546875" bestFit="1" customWidth="1"/>
  </cols>
  <sheetData>
    <row r="3" spans="1:5" x14ac:dyDescent="0.3">
      <c r="A3" s="1" t="s">
        <v>4</v>
      </c>
      <c r="B3" t="s">
        <v>6</v>
      </c>
      <c r="C3" t="s">
        <v>7</v>
      </c>
      <c r="D3" t="s">
        <v>8</v>
      </c>
    </row>
    <row r="4" spans="1:5" x14ac:dyDescent="0.3">
      <c r="A4" s="2" t="s">
        <v>0</v>
      </c>
      <c r="B4">
        <v>229260.15</v>
      </c>
      <c r="C4">
        <v>72232.649999999994</v>
      </c>
      <c r="D4">
        <v>157027.5</v>
      </c>
      <c r="E4" t="str" cm="1">
        <f t="array" ref="E4">_xlfn.IFS(GETPIVOTDATA("Sum of profit",$A$3,"product_name","The Birthday Sugar Panda") &gt; 200000, "High Value", GETPIVOTDATA("Sum of profit",$A$3,"product_name","The Birthday Sugar Panda") &lt; 200000, "Low Value")</f>
        <v>Low Value</v>
      </c>
    </row>
    <row r="5" spans="1:5" x14ac:dyDescent="0.3">
      <c r="A5" s="2" t="s">
        <v>2</v>
      </c>
      <c r="B5">
        <v>347702.04</v>
      </c>
      <c r="C5">
        <v>130352.04</v>
      </c>
      <c r="D5">
        <v>217350</v>
      </c>
      <c r="E5" t="str" cm="1">
        <f t="array" ref="E5">_xlfn.IFS(GETPIVOTDATA("Sum of profit",$A$3,"product_name","The Forever Love Bear") &gt; 200000, "High Value", GETPIVOTDATA("Sum of profit",$A$3,"product_name","The Forever Love Bear") &lt; 200000, "Low Value")</f>
        <v>High Value</v>
      </c>
    </row>
    <row r="6" spans="1:5" x14ac:dyDescent="0.3">
      <c r="A6" s="2" t="s">
        <v>1</v>
      </c>
      <c r="B6">
        <v>150489.82</v>
      </c>
      <c r="C6">
        <v>47620.82</v>
      </c>
      <c r="D6">
        <v>102869</v>
      </c>
      <c r="E6" t="str" cm="1">
        <f t="array" ref="E6">_xlfn.IFS(GETPIVOTDATA("Sum of profit",$A$3,"product_name","The Hudson River Mini bear")&gt;200000,"High Profit",GETPIVOTDATA("Sum of profit",$A$3,"product_name","The Hudson River Mini bear")&lt;200000,"Low Profit")</f>
        <v>Low Profit</v>
      </c>
    </row>
    <row r="7" spans="1:5" x14ac:dyDescent="0.3">
      <c r="A7" s="2" t="s">
        <v>3</v>
      </c>
      <c r="B7">
        <v>1211057.74</v>
      </c>
      <c r="C7">
        <v>472164.74</v>
      </c>
      <c r="D7">
        <v>738893</v>
      </c>
      <c r="E7" t="str" cm="1">
        <f t="array" ref="E7">_xlfn.IFS(GETPIVOTDATA("Sum of profit",$A$3,"product_name","The Original Mr. Fuzzy") &gt; 200000, "High Profit", GETPIVOTDATA("Sum of profit",$A$3,"product_name","The Original Mr. Fuzzy") &lt; 200000, "Low Profit")</f>
        <v>High Profit</v>
      </c>
    </row>
    <row r="8" spans="1:5" x14ac:dyDescent="0.3">
      <c r="A8" s="2" t="s">
        <v>5</v>
      </c>
      <c r="B8">
        <v>1938509.75</v>
      </c>
      <c r="C8">
        <v>722370.25</v>
      </c>
      <c r="D8">
        <v>1216139.5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DCDF26-4991-4173-9F96-0D8E1DA0F9BD}">
  <dimension ref="A3:C45"/>
  <sheetViews>
    <sheetView topLeftCell="A11" workbookViewId="0">
      <selection activeCell="N7" sqref="N7"/>
    </sheetView>
  </sheetViews>
  <sheetFormatPr defaultRowHeight="14.4" x14ac:dyDescent="0.3"/>
  <cols>
    <col min="1" max="1" width="12.21875" bestFit="1" customWidth="1"/>
    <col min="2" max="2" width="17.77734375" bestFit="1" customWidth="1"/>
    <col min="3" max="4" width="8" bestFit="1" customWidth="1"/>
    <col min="5" max="5" width="7" bestFit="1" customWidth="1"/>
    <col min="6" max="6" width="8" bestFit="1" customWidth="1"/>
    <col min="7" max="10" width="9" bestFit="1" customWidth="1"/>
    <col min="11" max="11" width="8" bestFit="1" customWidth="1"/>
    <col min="12" max="23" width="9" bestFit="1" customWidth="1"/>
    <col min="24" max="24" width="8" bestFit="1" customWidth="1"/>
    <col min="25" max="33" width="9" bestFit="1" customWidth="1"/>
    <col min="34" max="38" width="10" bestFit="1" customWidth="1"/>
    <col min="39" max="39" width="10.21875" bestFit="1" customWidth="1"/>
  </cols>
  <sheetData>
    <row r="3" spans="1:3" x14ac:dyDescent="0.3">
      <c r="A3" s="1" t="s">
        <v>4</v>
      </c>
      <c r="B3" t="s">
        <v>9</v>
      </c>
    </row>
    <row r="4" spans="1:3" x14ac:dyDescent="0.3">
      <c r="A4" s="2">
        <v>2012</v>
      </c>
      <c r="B4" s="4">
        <v>129274.14000000001</v>
      </c>
    </row>
    <row r="5" spans="1:3" x14ac:dyDescent="0.3">
      <c r="A5" s="3">
        <v>3</v>
      </c>
      <c r="B5" s="4">
        <v>2999.4</v>
      </c>
      <c r="C5" t="str">
        <f>C16</f>
        <v>January</v>
      </c>
    </row>
    <row r="6" spans="1:3" x14ac:dyDescent="0.3">
      <c r="A6" s="3">
        <v>4</v>
      </c>
      <c r="B6" s="4">
        <v>4949.01</v>
      </c>
      <c r="C6" t="str">
        <f t="shared" ref="C6:C14" si="0">TEXT(DATE(2000,A6,1),"mmmm")</f>
        <v>April</v>
      </c>
    </row>
    <row r="7" spans="1:3" x14ac:dyDescent="0.3">
      <c r="A7" s="3">
        <v>5</v>
      </c>
      <c r="B7" s="4">
        <v>5398.92</v>
      </c>
      <c r="C7" t="str">
        <f t="shared" si="0"/>
        <v>May</v>
      </c>
    </row>
    <row r="8" spans="1:3" x14ac:dyDescent="0.3">
      <c r="A8" s="3">
        <v>6</v>
      </c>
      <c r="B8" s="4">
        <v>6998.6</v>
      </c>
      <c r="C8" t="str">
        <f t="shared" si="0"/>
        <v>June</v>
      </c>
    </row>
    <row r="9" spans="1:3" x14ac:dyDescent="0.3">
      <c r="A9" s="3">
        <v>7</v>
      </c>
      <c r="B9" s="4">
        <v>8448.31</v>
      </c>
      <c r="C9" t="str">
        <f t="shared" si="0"/>
        <v>July</v>
      </c>
    </row>
    <row r="10" spans="1:3" x14ac:dyDescent="0.3">
      <c r="A10" s="3">
        <v>8</v>
      </c>
      <c r="B10" s="4">
        <v>11397.72</v>
      </c>
      <c r="C10" t="str">
        <f t="shared" si="0"/>
        <v>August</v>
      </c>
    </row>
    <row r="11" spans="1:3" x14ac:dyDescent="0.3">
      <c r="A11" s="3">
        <v>9</v>
      </c>
      <c r="B11" s="4">
        <v>14347.13</v>
      </c>
      <c r="C11" t="str">
        <f t="shared" si="0"/>
        <v>September</v>
      </c>
    </row>
    <row r="12" spans="1:3" x14ac:dyDescent="0.3">
      <c r="A12" s="3">
        <v>10</v>
      </c>
      <c r="B12" s="4">
        <v>18546.29</v>
      </c>
      <c r="C12" t="str">
        <f t="shared" si="0"/>
        <v>October</v>
      </c>
    </row>
    <row r="13" spans="1:3" x14ac:dyDescent="0.3">
      <c r="A13" s="3">
        <v>11</v>
      </c>
      <c r="B13" s="4">
        <v>30893.82</v>
      </c>
      <c r="C13" t="str">
        <f t="shared" si="0"/>
        <v>November</v>
      </c>
    </row>
    <row r="14" spans="1:3" x14ac:dyDescent="0.3">
      <c r="A14" s="3">
        <v>12</v>
      </c>
      <c r="B14" s="4">
        <v>25294.94</v>
      </c>
      <c r="C14" t="str">
        <f t="shared" si="0"/>
        <v>December</v>
      </c>
    </row>
    <row r="15" spans="1:3" x14ac:dyDescent="0.3">
      <c r="A15" s="2">
        <v>2013</v>
      </c>
      <c r="B15" s="4">
        <v>393247.87</v>
      </c>
    </row>
    <row r="16" spans="1:3" x14ac:dyDescent="0.3">
      <c r="A16" s="3">
        <v>1</v>
      </c>
      <c r="B16" s="4">
        <v>19966.099999999999</v>
      </c>
      <c r="C16" t="str">
        <f>TEXT(DATE(2000,A16,1),"mmmm")</f>
        <v>January</v>
      </c>
    </row>
    <row r="17" spans="1:3" x14ac:dyDescent="0.3">
      <c r="A17" s="3">
        <v>2</v>
      </c>
      <c r="B17" s="4">
        <v>26515.02</v>
      </c>
      <c r="C17" t="str">
        <f t="shared" ref="C17:C27" si="1">TEXT(DATE(2000,A17,1),"mmmm")</f>
        <v>February</v>
      </c>
    </row>
    <row r="18" spans="1:3" x14ac:dyDescent="0.3">
      <c r="A18" s="3">
        <v>3</v>
      </c>
      <c r="B18" s="4">
        <v>19896.150000000001</v>
      </c>
      <c r="C18" t="str">
        <f t="shared" si="1"/>
        <v>March</v>
      </c>
    </row>
    <row r="19" spans="1:3" x14ac:dyDescent="0.3">
      <c r="A19" s="3">
        <v>4</v>
      </c>
      <c r="B19" s="4">
        <v>28584.47</v>
      </c>
      <c r="C19" t="str">
        <f t="shared" si="1"/>
        <v>April</v>
      </c>
    </row>
    <row r="20" spans="1:3" x14ac:dyDescent="0.3">
      <c r="A20" s="3">
        <v>5</v>
      </c>
      <c r="B20" s="4">
        <v>29364.29</v>
      </c>
      <c r="C20" t="str">
        <f t="shared" si="1"/>
        <v>May</v>
      </c>
    </row>
    <row r="21" spans="1:3" x14ac:dyDescent="0.3">
      <c r="A21" s="3">
        <v>6</v>
      </c>
      <c r="B21" s="4">
        <v>30544.07</v>
      </c>
      <c r="C21" t="str">
        <f t="shared" si="1"/>
        <v>June</v>
      </c>
    </row>
    <row r="22" spans="1:3" x14ac:dyDescent="0.3">
      <c r="A22" s="3">
        <v>7</v>
      </c>
      <c r="B22" s="4">
        <v>31143.96</v>
      </c>
      <c r="C22" t="str">
        <f t="shared" si="1"/>
        <v>July</v>
      </c>
    </row>
    <row r="23" spans="1:3" x14ac:dyDescent="0.3">
      <c r="A23" s="3">
        <v>8</v>
      </c>
      <c r="B23" s="4">
        <v>31373.919999999998</v>
      </c>
      <c r="C23" t="str">
        <f t="shared" si="1"/>
        <v>August</v>
      </c>
    </row>
    <row r="24" spans="1:3" x14ac:dyDescent="0.3">
      <c r="A24" s="3">
        <v>9</v>
      </c>
      <c r="B24" s="4">
        <v>32723.65</v>
      </c>
      <c r="C24" t="str">
        <f t="shared" si="1"/>
        <v>September</v>
      </c>
    </row>
    <row r="25" spans="1:3" x14ac:dyDescent="0.3">
      <c r="A25" s="3">
        <v>10</v>
      </c>
      <c r="B25" s="4">
        <v>38242.620000000003</v>
      </c>
      <c r="C25" t="str">
        <f t="shared" si="1"/>
        <v>October</v>
      </c>
    </row>
    <row r="26" spans="1:3" x14ac:dyDescent="0.3">
      <c r="A26" s="3">
        <v>11</v>
      </c>
      <c r="B26" s="4">
        <v>46631.02</v>
      </c>
      <c r="C26" t="str">
        <f t="shared" si="1"/>
        <v>November</v>
      </c>
    </row>
    <row r="27" spans="1:3" x14ac:dyDescent="0.3">
      <c r="A27" s="3">
        <v>12</v>
      </c>
      <c r="B27" s="4">
        <v>58262.6</v>
      </c>
      <c r="C27" t="str">
        <f t="shared" si="1"/>
        <v>December</v>
      </c>
    </row>
    <row r="28" spans="1:3" x14ac:dyDescent="0.3">
      <c r="A28" s="2">
        <v>2014</v>
      </c>
      <c r="B28" s="4">
        <v>1075612.19</v>
      </c>
    </row>
    <row r="29" spans="1:3" x14ac:dyDescent="0.3">
      <c r="A29" s="3">
        <v>1</v>
      </c>
      <c r="B29" s="4">
        <v>56568.89</v>
      </c>
      <c r="C29" t="str">
        <f>TEXT(DATE(2000,A29,1),"mmmm")</f>
        <v>January</v>
      </c>
    </row>
    <row r="30" spans="1:3" x14ac:dyDescent="0.3">
      <c r="A30" s="3">
        <v>2</v>
      </c>
      <c r="B30" s="4">
        <v>66012.52</v>
      </c>
      <c r="C30" t="str">
        <f t="shared" ref="C30:C40" si="2">TEXT(DATE(2000,A30,1),"mmmm")</f>
        <v>February</v>
      </c>
    </row>
    <row r="31" spans="1:3" x14ac:dyDescent="0.3">
      <c r="A31" s="3">
        <v>3</v>
      </c>
      <c r="B31" s="4">
        <v>68189.73</v>
      </c>
      <c r="C31" t="str">
        <f t="shared" si="2"/>
        <v>March</v>
      </c>
    </row>
    <row r="32" spans="1:3" x14ac:dyDescent="0.3">
      <c r="A32" s="3">
        <v>4</v>
      </c>
      <c r="B32" s="4">
        <v>78725.429999999993</v>
      </c>
      <c r="C32" t="str">
        <f t="shared" si="2"/>
        <v>April</v>
      </c>
    </row>
    <row r="33" spans="1:3" x14ac:dyDescent="0.3">
      <c r="A33" s="3">
        <v>5</v>
      </c>
      <c r="B33" s="4">
        <v>88935.27</v>
      </c>
      <c r="C33" t="str">
        <f t="shared" si="2"/>
        <v>May</v>
      </c>
    </row>
    <row r="34" spans="1:3" x14ac:dyDescent="0.3">
      <c r="A34" s="3">
        <v>6</v>
      </c>
      <c r="B34" s="4">
        <v>80051.25</v>
      </c>
      <c r="C34" t="str">
        <f t="shared" si="2"/>
        <v>June</v>
      </c>
    </row>
    <row r="35" spans="1:3" x14ac:dyDescent="0.3">
      <c r="A35" s="3">
        <v>7</v>
      </c>
      <c r="B35" s="4">
        <v>83288.55</v>
      </c>
      <c r="C35" t="str">
        <f t="shared" si="2"/>
        <v>July</v>
      </c>
    </row>
    <row r="36" spans="1:3" x14ac:dyDescent="0.3">
      <c r="A36" s="3">
        <v>8</v>
      </c>
      <c r="B36" s="4">
        <v>84716.08</v>
      </c>
      <c r="C36" t="str">
        <f t="shared" si="2"/>
        <v>August</v>
      </c>
    </row>
    <row r="37" spans="1:3" x14ac:dyDescent="0.3">
      <c r="A37" s="3">
        <v>9</v>
      </c>
      <c r="B37" s="4">
        <v>92232.49</v>
      </c>
      <c r="C37" t="str">
        <f t="shared" si="2"/>
        <v>September</v>
      </c>
    </row>
    <row r="38" spans="1:3" x14ac:dyDescent="0.3">
      <c r="A38" s="3">
        <v>10</v>
      </c>
      <c r="B38" s="4">
        <v>103905.98</v>
      </c>
      <c r="C38" t="str">
        <f t="shared" si="2"/>
        <v>October</v>
      </c>
    </row>
    <row r="39" spans="1:3" x14ac:dyDescent="0.3">
      <c r="A39" s="3">
        <v>11</v>
      </c>
      <c r="B39" s="4">
        <v>128162.98</v>
      </c>
      <c r="C39" t="str">
        <f t="shared" si="2"/>
        <v>November</v>
      </c>
    </row>
    <row r="40" spans="1:3" x14ac:dyDescent="0.3">
      <c r="A40" s="3">
        <v>12</v>
      </c>
      <c r="B40" s="4">
        <v>144823.01999999999</v>
      </c>
      <c r="C40" t="str">
        <f t="shared" si="2"/>
        <v>December</v>
      </c>
    </row>
    <row r="41" spans="1:3" x14ac:dyDescent="0.3">
      <c r="A41" s="2">
        <v>2015</v>
      </c>
      <c r="B41" s="4">
        <v>340375.55000000005</v>
      </c>
    </row>
    <row r="42" spans="1:3" x14ac:dyDescent="0.3">
      <c r="A42" s="3">
        <v>1</v>
      </c>
      <c r="B42" s="4">
        <v>132211.54</v>
      </c>
      <c r="C42" t="str">
        <f>TEXT(DATE(2000,A42,1),"mmmm")</f>
        <v>January</v>
      </c>
    </row>
    <row r="43" spans="1:3" x14ac:dyDescent="0.3">
      <c r="A43" s="3">
        <v>2</v>
      </c>
      <c r="B43" s="4">
        <v>129212.94</v>
      </c>
      <c r="C43" t="str">
        <f t="shared" ref="C43:C44" si="3">TEXT(DATE(2000,A43,1),"mmmm")</f>
        <v>February</v>
      </c>
    </row>
    <row r="44" spans="1:3" x14ac:dyDescent="0.3">
      <c r="A44" s="3">
        <v>3</v>
      </c>
      <c r="B44" s="4">
        <v>78951.070000000007</v>
      </c>
      <c r="C44" t="str">
        <f t="shared" si="3"/>
        <v>March</v>
      </c>
    </row>
    <row r="45" spans="1:3" x14ac:dyDescent="0.3">
      <c r="A45" s="2" t="s">
        <v>5</v>
      </c>
      <c r="B45">
        <v>1938509.7500000002</v>
      </c>
    </row>
  </sheetData>
  <conditionalFormatting pivot="1" sqref="B5:B14">
    <cfRule type="dataBar" priority="4">
      <dataBar>
        <cfvo type="min"/>
        <cfvo type="max"/>
        <color rgb="FF63C384"/>
      </dataBar>
      <extLst>
        <ext xmlns:x14="http://schemas.microsoft.com/office/spreadsheetml/2009/9/main" uri="{B025F937-C7B1-47D3-B67F-A62EFF666E3E}">
          <x14:id>{01376A21-8389-4909-A7D2-6ECD5EBFD384}</x14:id>
        </ext>
      </extLst>
    </cfRule>
  </conditionalFormatting>
  <conditionalFormatting pivot="1" sqref="B16:B27">
    <cfRule type="dataBar" priority="3">
      <dataBar>
        <cfvo type="min"/>
        <cfvo type="max"/>
        <color rgb="FF63C384"/>
      </dataBar>
      <extLst>
        <ext xmlns:x14="http://schemas.microsoft.com/office/spreadsheetml/2009/9/main" uri="{B025F937-C7B1-47D3-B67F-A62EFF666E3E}">
          <x14:id>{7D77E000-1D5C-4050-8A68-713C9633F450}</x14:id>
        </ext>
      </extLst>
    </cfRule>
  </conditionalFormatting>
  <conditionalFormatting pivot="1" sqref="B29:B40">
    <cfRule type="dataBar" priority="2">
      <dataBar>
        <cfvo type="min"/>
        <cfvo type="max"/>
        <color rgb="FF63C384"/>
      </dataBar>
      <extLst>
        <ext xmlns:x14="http://schemas.microsoft.com/office/spreadsheetml/2009/9/main" uri="{B025F937-C7B1-47D3-B67F-A62EFF666E3E}">
          <x14:id>{7DF7FF33-3A17-4197-A40B-5A8E3A1F3C9B}</x14:id>
        </ext>
      </extLst>
    </cfRule>
  </conditionalFormatting>
  <conditionalFormatting pivot="1" sqref="B42:B44">
    <cfRule type="dataBar" priority="1">
      <dataBar>
        <cfvo type="min"/>
        <cfvo type="max"/>
        <color rgb="FF63C384"/>
      </dataBar>
      <extLst>
        <ext xmlns:x14="http://schemas.microsoft.com/office/spreadsheetml/2009/9/main" uri="{B025F937-C7B1-47D3-B67F-A62EFF666E3E}">
          <x14:id>{1D50DD8E-3927-42B9-80C6-3515F56FF7EC}</x14:id>
        </ext>
      </extLst>
    </cfRule>
  </conditionalFormatting>
  <pageMargins left="0.7" right="0.7" top="0.75" bottom="0.75" header="0.3" footer="0.3"/>
  <pageSetup orientation="portrait" r:id="rId2"/>
  <drawing r:id="rId3"/>
  <extLst>
    <ext xmlns:x14="http://schemas.microsoft.com/office/spreadsheetml/2009/9/main" uri="{78C0D931-6437-407d-A8EE-F0AAD7539E65}">
      <x14:conditionalFormattings>
        <x14:conditionalFormatting xmlns:xm="http://schemas.microsoft.com/office/excel/2006/main" pivot="1">
          <x14:cfRule type="dataBar" id="{01376A21-8389-4909-A7D2-6ECD5EBFD384}">
            <x14:dataBar minLength="0" maxLength="100" gradient="0">
              <x14:cfvo type="autoMin"/>
              <x14:cfvo type="autoMax"/>
              <x14:negativeFillColor rgb="FFFF0000"/>
              <x14:axisColor rgb="FF000000"/>
            </x14:dataBar>
          </x14:cfRule>
          <xm:sqref>B5:B14</xm:sqref>
        </x14:conditionalFormatting>
        <x14:conditionalFormatting xmlns:xm="http://schemas.microsoft.com/office/excel/2006/main" pivot="1">
          <x14:cfRule type="dataBar" id="{7D77E000-1D5C-4050-8A68-713C9633F450}">
            <x14:dataBar minLength="0" maxLength="100" gradient="0">
              <x14:cfvo type="autoMin"/>
              <x14:cfvo type="autoMax"/>
              <x14:negativeFillColor rgb="FFFF0000"/>
              <x14:axisColor rgb="FF000000"/>
            </x14:dataBar>
          </x14:cfRule>
          <xm:sqref>B16:B27</xm:sqref>
        </x14:conditionalFormatting>
        <x14:conditionalFormatting xmlns:xm="http://schemas.microsoft.com/office/excel/2006/main" pivot="1">
          <x14:cfRule type="dataBar" id="{7DF7FF33-3A17-4197-A40B-5A8E3A1F3C9B}">
            <x14:dataBar minLength="0" maxLength="100" gradient="0">
              <x14:cfvo type="autoMin"/>
              <x14:cfvo type="autoMax"/>
              <x14:negativeFillColor rgb="FFFF0000"/>
              <x14:axisColor rgb="FF000000"/>
            </x14:dataBar>
          </x14:cfRule>
          <xm:sqref>B29:B40</xm:sqref>
        </x14:conditionalFormatting>
        <x14:conditionalFormatting xmlns:xm="http://schemas.microsoft.com/office/excel/2006/main" pivot="1">
          <x14:cfRule type="dataBar" id="{1D50DD8E-3927-42B9-80C6-3515F56FF7EC}">
            <x14:dataBar minLength="0" maxLength="100" gradient="0">
              <x14:cfvo type="autoMin"/>
              <x14:cfvo type="autoMax"/>
              <x14:negativeFillColor rgb="FFFF0000"/>
              <x14:axisColor rgb="FF000000"/>
            </x14:dataBar>
          </x14:cfRule>
          <xm:sqref>B42:B44</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4EC43-4B4F-4A3D-9026-3A57AEBA5EB1}">
  <dimension ref="F1:L2"/>
  <sheetViews>
    <sheetView tabSelected="1" zoomScale="45" workbookViewId="0">
      <selection activeCell="T32" sqref="T32"/>
    </sheetView>
  </sheetViews>
  <sheetFormatPr defaultRowHeight="14.4" x14ac:dyDescent="0.3"/>
  <cols>
    <col min="6" max="6" width="42" bestFit="1" customWidth="1"/>
    <col min="8" max="8" width="36.5546875" bestFit="1" customWidth="1"/>
    <col min="10" max="10" width="36.44140625" bestFit="1" customWidth="1"/>
    <col min="12" max="12" width="34" bestFit="1" customWidth="1"/>
  </cols>
  <sheetData>
    <row r="1" spans="6:12" ht="47.4" x14ac:dyDescent="0.9">
      <c r="F1" s="5" t="s">
        <v>10</v>
      </c>
      <c r="H1" s="5" t="s">
        <v>11</v>
      </c>
      <c r="J1" s="5" t="s">
        <v>12</v>
      </c>
      <c r="L1" s="5" t="s">
        <v>13</v>
      </c>
    </row>
    <row r="2" spans="6:12" ht="36.6" x14ac:dyDescent="0.7">
      <c r="F2" s="6">
        <f>SUM(Profit_By_Product!$B$4:$B$7)</f>
        <v>1938509.75</v>
      </c>
      <c r="H2" s="7">
        <v>32313</v>
      </c>
      <c r="J2" s="8">
        <v>4.5900000000000003E-2</v>
      </c>
      <c r="L2" s="9">
        <v>1216193.5</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B6815D0-0829-4F07-9BBF-4871586076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Product_Performance</vt:lpstr>
      <vt:lpstr>Profit_By_Product</vt:lpstr>
      <vt:lpstr>Monthly_Revenue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Colten Wright</dc:creator>
  <cp:lastModifiedBy>Colten Wright</cp:lastModifiedBy>
  <dcterms:created xsi:type="dcterms:W3CDTF">2026-08-03T19:50:21Z</dcterms:created>
  <dcterms:modified xsi:type="dcterms:W3CDTF">2026-09-02T22:28:20Z</dcterms:modified>
</cp:coreProperties>
</file>